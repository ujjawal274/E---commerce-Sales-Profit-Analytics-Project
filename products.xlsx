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Telegram Desktop\ecommerce_sales_analytics_dataset\"/>
    </mc:Choice>
  </mc:AlternateContent>
  <xr:revisionPtr revIDLastSave="0" documentId="13_ncr:1_{3E91D454-2D57-4C37-92F6-C8AEB6B2BA2F}" xr6:coauthVersionLast="47" xr6:coauthVersionMax="47" xr10:uidLastSave="{00000000-0000-0000-0000-000000000000}"/>
  <bookViews>
    <workbookView xWindow="-120" yWindow="-120" windowWidth="20730" windowHeight="11040" firstSheet="3" activeTab="3" xr2:uid="{47A74496-0604-49FF-B0F4-4ACA0EE27900}"/>
  </bookViews>
  <sheets>
    <sheet name="products" sheetId="1" r:id="rId1"/>
    <sheet name="orders" sheetId="2" r:id="rId2"/>
    <sheet name="Order_Chart" sheetId="10" r:id="rId3"/>
    <sheet name="Dashboard" sheetId="11" r:id="rId4"/>
    <sheet name="Main_Dashboard" sheetId="12" r:id="rId5"/>
    <sheet name="Payment_Chart" sheetId="9" r:id="rId6"/>
    <sheet name="Revenue_Chart" sheetId="4" r:id="rId7"/>
    <sheet name="Profit_Chart" sheetId="8" r:id="rId8"/>
    <sheet name="Category_Wise" sheetId="3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2" i="2"/>
  <c r="G3" i="2"/>
  <c r="L3" i="2" s="1"/>
  <c r="G4" i="2"/>
  <c r="L4" i="2" s="1"/>
  <c r="G5" i="2"/>
  <c r="L5" i="2" s="1"/>
  <c r="G6" i="2"/>
  <c r="L6" i="2" s="1"/>
  <c r="G7" i="2"/>
  <c r="L7" i="2" s="1"/>
  <c r="G8" i="2"/>
  <c r="L8" i="2" s="1"/>
  <c r="G9" i="2"/>
  <c r="L9" i="2" s="1"/>
  <c r="G10" i="2"/>
  <c r="L10" i="2" s="1"/>
  <c r="G11" i="2"/>
  <c r="L11" i="2" s="1"/>
  <c r="G12" i="2"/>
  <c r="L12" i="2" s="1"/>
  <c r="G13" i="2"/>
  <c r="L13" i="2" s="1"/>
  <c r="G14" i="2"/>
  <c r="L14" i="2" s="1"/>
  <c r="G15" i="2"/>
  <c r="L15" i="2" s="1"/>
  <c r="G16" i="2"/>
  <c r="L16" i="2" s="1"/>
  <c r="G17" i="2"/>
  <c r="L17" i="2" s="1"/>
  <c r="G18" i="2"/>
  <c r="L18" i="2" s="1"/>
  <c r="G19" i="2"/>
  <c r="L19" i="2" s="1"/>
  <c r="G20" i="2"/>
  <c r="L20" i="2" s="1"/>
  <c r="G21" i="2"/>
  <c r="L21" i="2" s="1"/>
  <c r="G22" i="2"/>
  <c r="L22" i="2" s="1"/>
  <c r="G23" i="2"/>
  <c r="L23" i="2" s="1"/>
  <c r="G24" i="2"/>
  <c r="L24" i="2" s="1"/>
  <c r="G25" i="2"/>
  <c r="L25" i="2" s="1"/>
  <c r="G26" i="2"/>
  <c r="L26" i="2" s="1"/>
  <c r="G27" i="2"/>
  <c r="L27" i="2" s="1"/>
  <c r="G28" i="2"/>
  <c r="L28" i="2" s="1"/>
  <c r="G29" i="2"/>
  <c r="L29" i="2" s="1"/>
  <c r="G30" i="2"/>
  <c r="L30" i="2" s="1"/>
  <c r="G31" i="2"/>
  <c r="L31" i="2" s="1"/>
  <c r="G32" i="2"/>
  <c r="L32" i="2" s="1"/>
  <c r="G33" i="2"/>
  <c r="L33" i="2" s="1"/>
  <c r="G34" i="2"/>
  <c r="L34" i="2" s="1"/>
  <c r="G35" i="2"/>
  <c r="L35" i="2" s="1"/>
  <c r="G36" i="2"/>
  <c r="L36" i="2" s="1"/>
  <c r="G37" i="2"/>
  <c r="L37" i="2" s="1"/>
  <c r="G38" i="2"/>
  <c r="L38" i="2" s="1"/>
  <c r="G39" i="2"/>
  <c r="L39" i="2" s="1"/>
  <c r="G40" i="2"/>
  <c r="L40" i="2" s="1"/>
  <c r="G41" i="2"/>
  <c r="L41" i="2" s="1"/>
  <c r="G42" i="2"/>
  <c r="L42" i="2" s="1"/>
  <c r="G43" i="2"/>
  <c r="L43" i="2" s="1"/>
  <c r="G44" i="2"/>
  <c r="L44" i="2" s="1"/>
  <c r="G45" i="2"/>
  <c r="L45" i="2" s="1"/>
  <c r="G46" i="2"/>
  <c r="L46" i="2" s="1"/>
  <c r="G47" i="2"/>
  <c r="L47" i="2" s="1"/>
  <c r="G48" i="2"/>
  <c r="L48" i="2" s="1"/>
  <c r="G2" i="2"/>
  <c r="L2" i="2" s="1"/>
  <c r="R7" i="2" s="1"/>
  <c r="K19" i="2"/>
  <c r="M19" i="2" s="1"/>
  <c r="K27" i="2"/>
  <c r="M27" i="2" s="1"/>
  <c r="K35" i="2"/>
  <c r="K36" i="2"/>
  <c r="K44" i="2"/>
  <c r="M44" i="2" s="1"/>
  <c r="F3" i="2"/>
  <c r="K3" i="2" s="1"/>
  <c r="F4" i="2"/>
  <c r="K4" i="2" s="1"/>
  <c r="F5" i="2"/>
  <c r="K5" i="2" s="1"/>
  <c r="F6" i="2"/>
  <c r="K6" i="2" s="1"/>
  <c r="M6" i="2" s="1"/>
  <c r="F7" i="2"/>
  <c r="K7" i="2" s="1"/>
  <c r="M7" i="2" s="1"/>
  <c r="F8" i="2"/>
  <c r="K8" i="2" s="1"/>
  <c r="M8" i="2" s="1"/>
  <c r="F9" i="2"/>
  <c r="K9" i="2" s="1"/>
  <c r="M9" i="2" s="1"/>
  <c r="F10" i="2"/>
  <c r="K10" i="2" s="1"/>
  <c r="F11" i="2"/>
  <c r="K11" i="2" s="1"/>
  <c r="M11" i="2" s="1"/>
  <c r="F12" i="2"/>
  <c r="K12" i="2" s="1"/>
  <c r="F13" i="2"/>
  <c r="K13" i="2" s="1"/>
  <c r="F14" i="2"/>
  <c r="K14" i="2" s="1"/>
  <c r="M14" i="2" s="1"/>
  <c r="F15" i="2"/>
  <c r="K15" i="2" s="1"/>
  <c r="M15" i="2" s="1"/>
  <c r="F16" i="2"/>
  <c r="K16" i="2" s="1"/>
  <c r="M16" i="2" s="1"/>
  <c r="F17" i="2"/>
  <c r="K17" i="2" s="1"/>
  <c r="M17" i="2" s="1"/>
  <c r="F18" i="2"/>
  <c r="K18" i="2" s="1"/>
  <c r="F19" i="2"/>
  <c r="F20" i="2"/>
  <c r="K20" i="2" s="1"/>
  <c r="F21" i="2"/>
  <c r="K21" i="2" s="1"/>
  <c r="F22" i="2"/>
  <c r="K22" i="2" s="1"/>
  <c r="M22" i="2" s="1"/>
  <c r="F23" i="2"/>
  <c r="K23" i="2" s="1"/>
  <c r="M23" i="2" s="1"/>
  <c r="F24" i="2"/>
  <c r="K24" i="2" s="1"/>
  <c r="M24" i="2" s="1"/>
  <c r="F25" i="2"/>
  <c r="K25" i="2" s="1"/>
  <c r="M25" i="2" s="1"/>
  <c r="F26" i="2"/>
  <c r="K26" i="2" s="1"/>
  <c r="F27" i="2"/>
  <c r="F28" i="2"/>
  <c r="K28" i="2" s="1"/>
  <c r="M28" i="2" s="1"/>
  <c r="F29" i="2"/>
  <c r="K29" i="2" s="1"/>
  <c r="M29" i="2" s="1"/>
  <c r="F30" i="2"/>
  <c r="K30" i="2" s="1"/>
  <c r="M30" i="2" s="1"/>
  <c r="F31" i="2"/>
  <c r="K31" i="2" s="1"/>
  <c r="M31" i="2" s="1"/>
  <c r="F32" i="2"/>
  <c r="K32" i="2" s="1"/>
  <c r="M32" i="2" s="1"/>
  <c r="F33" i="2"/>
  <c r="K33" i="2" s="1"/>
  <c r="M33" i="2" s="1"/>
  <c r="F34" i="2"/>
  <c r="K34" i="2" s="1"/>
  <c r="F35" i="2"/>
  <c r="F36" i="2"/>
  <c r="F37" i="2"/>
  <c r="K37" i="2" s="1"/>
  <c r="F38" i="2"/>
  <c r="K38" i="2" s="1"/>
  <c r="M38" i="2" s="1"/>
  <c r="F39" i="2"/>
  <c r="K39" i="2" s="1"/>
  <c r="M39" i="2" s="1"/>
  <c r="F40" i="2"/>
  <c r="K40" i="2" s="1"/>
  <c r="M40" i="2" s="1"/>
  <c r="F41" i="2"/>
  <c r="K41" i="2" s="1"/>
  <c r="M41" i="2" s="1"/>
  <c r="F42" i="2"/>
  <c r="K42" i="2" s="1"/>
  <c r="F43" i="2"/>
  <c r="K43" i="2" s="1"/>
  <c r="F44" i="2"/>
  <c r="F45" i="2"/>
  <c r="K45" i="2" s="1"/>
  <c r="M45" i="2" s="1"/>
  <c r="F46" i="2"/>
  <c r="K46" i="2" s="1"/>
  <c r="M46" i="2" s="1"/>
  <c r="F47" i="2"/>
  <c r="K47" i="2" s="1"/>
  <c r="M47" i="2" s="1"/>
  <c r="F48" i="2"/>
  <c r="K48" i="2" s="1"/>
  <c r="M48" i="2" s="1"/>
  <c r="F2" i="2"/>
  <c r="K2" i="2" s="1"/>
  <c r="M21" i="2" l="1"/>
  <c r="M5" i="2"/>
  <c r="M36" i="2"/>
  <c r="M20" i="2"/>
  <c r="M4" i="2"/>
  <c r="M43" i="2"/>
  <c r="M35" i="2"/>
  <c r="M3" i="2"/>
  <c r="M42" i="2"/>
  <c r="M34" i="2"/>
  <c r="M26" i="2"/>
  <c r="M18" i="2"/>
  <c r="M10" i="2"/>
  <c r="M37" i="2"/>
  <c r="M13" i="2"/>
  <c r="M12" i="2"/>
  <c r="M2" i="2"/>
  <c r="R6" i="2"/>
  <c r="R8" i="2" l="1"/>
</calcChain>
</file>

<file path=xl/sharedStrings.xml><?xml version="1.0" encoding="utf-8"?>
<sst xmlns="http://schemas.openxmlformats.org/spreadsheetml/2006/main" count="221" uniqueCount="86">
  <si>
    <t>product_id</t>
  </si>
  <si>
    <t>product_name</t>
  </si>
  <si>
    <t>category</t>
  </si>
  <si>
    <t>unit_price</t>
  </si>
  <si>
    <t>unit_cost</t>
  </si>
  <si>
    <t>Wireless Mouse</t>
  </si>
  <si>
    <t>Electronics</t>
  </si>
  <si>
    <t>Keyboard</t>
  </si>
  <si>
    <t>Water Bottle</t>
  </si>
  <si>
    <t>Home &amp; Kitchen</t>
  </si>
  <si>
    <t>Backpack</t>
  </si>
  <si>
    <t>Fashion</t>
  </si>
  <si>
    <t>Running Shoes</t>
  </si>
  <si>
    <t>Coffee Maker</t>
  </si>
  <si>
    <t>Bluetooth Speaker</t>
  </si>
  <si>
    <t>Desk Lamp</t>
  </si>
  <si>
    <t>T-Shirt</t>
  </si>
  <si>
    <t>Power Bank</t>
  </si>
  <si>
    <t>order_id</t>
  </si>
  <si>
    <t>order_date</t>
  </si>
  <si>
    <t>customer_id</t>
  </si>
  <si>
    <t>quantity</t>
  </si>
  <si>
    <t>discount_pct</t>
  </si>
  <si>
    <t>order_status</t>
  </si>
  <si>
    <t>payment_method</t>
  </si>
  <si>
    <t>Delivered</t>
  </si>
  <si>
    <t>UPI</t>
  </si>
  <si>
    <t>count_delivered</t>
  </si>
  <si>
    <t>Card</t>
  </si>
  <si>
    <t>count_cancelled</t>
  </si>
  <si>
    <t>Cash</t>
  </si>
  <si>
    <t>total _quantity</t>
  </si>
  <si>
    <t>Cancelled</t>
  </si>
  <si>
    <t>revenue</t>
  </si>
  <si>
    <t>total_cost</t>
  </si>
  <si>
    <t>Formula Concept:</t>
  </si>
  <si>
    <t>Revenue = Unit Price × Quantity = ₹500 × 2 = ₹1,000</t>
  </si>
  <si>
    <t>Profit = (Unit Price − Unit Cost) × Quantity = (₹500 − ₹300) × 2 = ₹400</t>
  </si>
  <si>
    <t>Profit = Revenue − Total Cost</t>
  </si>
  <si>
    <t>Total Cost = unit_cost × quantity</t>
  </si>
  <si>
    <t xml:space="preserve">Revenue = Unit Price × Quantity </t>
  </si>
  <si>
    <t>profit</t>
  </si>
  <si>
    <t>Total Revenue</t>
  </si>
  <si>
    <t>Total Profit</t>
  </si>
  <si>
    <t>Total Cost</t>
  </si>
  <si>
    <t>Row Labels</t>
  </si>
  <si>
    <t>Grand Total</t>
  </si>
  <si>
    <t>Sum of revenue</t>
  </si>
  <si>
    <t>Sum of profit</t>
  </si>
  <si>
    <t>Data se kya pata chala?</t>
  </si>
  <si>
    <t>Highest Revenue: Electronics — ₹43,550</t>
  </si>
  <si>
    <t>Highest Profit: Fashion — ₹15,850</t>
  </si>
  <si>
    <t>Lowest Revenue: Home &amp; Kitchen — ₹30,200</t>
  </si>
  <si>
    <t>Lowest Profit: Home &amp; Kitchen — ₹11,520</t>
  </si>
  <si>
    <t>Dhyan do: jis category ka Revenue sabse zyada hai, zaroori nahi ki uska Profit bhi sabse zyada ho!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</si>
  <si>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</si>
  <si>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</si>
  <si>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</si>
  <si>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</si>
  <si>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</si>
  <si>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</si>
  <si>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</si>
  <si>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</si>
  <si>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</si>
  <si>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</si>
  <si>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</si>
  <si>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</si>
  <si>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</si>
  <si>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</si>
  <si>
    <t>*Simple:</t>
  </si>
  <si>
    <t xml:space="preserve">#Ab hum analyze karenge ki kitne orders </t>
  </si>
  <si>
    <t xml:space="preserve">  Delivered aur Cancelled hue hain.</t>
  </si>
  <si>
    <t>#Business Insight ( useful information / pattern):</t>
  </si>
  <si>
    <t xml:space="preserve">“Out of 47 total orders, 46 were delivered and </t>
  </si>
  <si>
    <t xml:space="preserve">  only 1 order was cancelled.”</t>
  </si>
  <si>
    <t>TOTAL REVENUE</t>
  </si>
  <si>
    <t>TOTAL PROFIT</t>
  </si>
  <si>
    <t>TOTAL ORDERS</t>
  </si>
  <si>
    <t>CANCELLED ORDERS</t>
  </si>
  <si>
    <r>
      <rPr>
        <b/>
        <sz val="18"/>
        <color theme="2"/>
        <rFont val="Aptos Narrow"/>
        <family val="2"/>
        <scheme val="minor"/>
      </rPr>
      <t xml:space="preserve">E-Commerce Sales &amp; Profit Analytics     </t>
    </r>
    <r>
      <rPr>
        <sz val="12"/>
        <color theme="2"/>
        <rFont val="Aptos Narrow"/>
        <family val="2"/>
        <scheme val="minor"/>
      </rPr>
      <t>Sales  •  Profit  •  Orders  •  Performance</t>
    </r>
  </si>
  <si>
    <t xml:space="preserve">                                          🛒</t>
  </si>
  <si>
    <t xml:space="preserve">           📈</t>
  </si>
  <si>
    <r>
      <rPr>
        <b/>
        <sz val="11"/>
        <color theme="3" tint="0.249977111117893"/>
        <rFont val="Aptos Narrow"/>
        <family val="2"/>
        <scheme val="minor"/>
      </rPr>
      <t xml:space="preserve">                             </t>
    </r>
    <r>
      <rPr>
        <b/>
        <sz val="11"/>
        <color theme="3" tint="0.249977111117893"/>
        <rFont val="Monotype Corsiva"/>
        <family val="4"/>
      </rPr>
      <t xml:space="preserve">          Better Insights   →   Higher Profits</t>
    </r>
  </si>
  <si>
    <r>
      <t xml:space="preserve">              </t>
    </r>
    <r>
      <rPr>
        <sz val="11"/>
        <color theme="3" tint="0.249977111117893"/>
        <rFont val="Aptos Narrow"/>
        <family val="2"/>
        <scheme val="minor"/>
      </rPr>
      <t>📈</t>
    </r>
  </si>
  <si>
    <t xml:space="preserve">               🛒 E-Commerce Analytics</t>
  </si>
  <si>
    <t xml:space="preserve">                       E-Commerce Sales &amp; Profit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</si>
</sst>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8"/>
      <color theme="9" tint="-0.249977111117893"/>
      <name val="Aptos Narrow"/>
      <family val="2"/>
      <scheme val="minor"/>
    </font>
    <font>
      <sz val="22"/>
      <color theme="9" tint="-0.249977111117893"/>
      <name val="Aptos Narrow"/>
      <family val="2"/>
      <scheme val="minor"/>
    </font>
    <font>
      <sz val="18"/>
      <color theme="3" tint="0.249977111117893"/>
      <name val="Aptos Narrow"/>
      <family val="2"/>
      <scheme val="minor"/>
    </font>
    <font>
      <sz val="22"/>
      <color theme="3" tint="0.249977111117893"/>
      <name val="Aptos Narrow"/>
      <family val="2"/>
      <scheme val="minor"/>
    </font>
    <font>
      <sz val="18"/>
      <color theme="5" tint="-0.249977111117893"/>
      <name val="Aptos Narrow"/>
      <family val="2"/>
      <scheme val="minor"/>
    </font>
    <font>
      <sz val="22"/>
      <color theme="5" tint="-0.249977111117893"/>
      <name val="Aptos Narrow"/>
      <family val="2"/>
      <scheme val="minor"/>
    </font>
    <font>
      <sz val="18"/>
      <color rgb="FF555307"/>
      <name val="Aptos Narrow"/>
      <family val="2"/>
      <scheme val="minor"/>
    </font>
    <font>
      <sz val="22"/>
      <color rgb="FF555307"/>
      <name val="Aptos Narrow"/>
      <family val="2"/>
      <scheme val="minor"/>
    </font>
    <font>
      <b/>
      <sz val="22"/>
      <color theme="9" tint="-0.249977111117893"/>
      <name val="Aptos Narrow"/>
      <family val="2"/>
      <scheme val="minor"/>
    </font>
    <font>
      <b/>
      <sz val="22"/>
      <color theme="3" tint="0.249977111117893"/>
      <name val="Aptos Narrow"/>
      <family val="2"/>
      <scheme val="minor"/>
    </font>
    <font>
      <b/>
      <sz val="22"/>
      <color rgb="FF555307"/>
      <name val="Aptos Narrow"/>
      <family val="2"/>
      <scheme val="minor"/>
    </font>
    <font>
      <b/>
      <sz val="22"/>
      <color theme="5" tint="-0.249977111117893"/>
      <name val="Aptos Narrow"/>
      <family val="2"/>
      <scheme val="minor"/>
    </font>
    <font>
      <sz val="16"/>
      <color theme="9" tint="-0.249977111117893"/>
      <name val="Aptos Narrow"/>
      <family val="2"/>
      <scheme val="minor"/>
    </font>
    <font>
      <sz val="16"/>
      <color theme="3" tint="0.249977111117893"/>
      <name val="Aptos Narrow"/>
      <family val="2"/>
      <scheme val="minor"/>
    </font>
    <font>
      <sz val="16"/>
      <color rgb="FF555307"/>
      <name val="Aptos Narrow"/>
      <family val="2"/>
      <scheme val="minor"/>
    </font>
    <font>
      <sz val="16"/>
      <color theme="5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3" tint="0.249977111117893"/>
      <name val="Monotype Corsiva"/>
      <family val="4"/>
    </font>
    <font>
      <b/>
      <sz val="20"/>
      <color theme="1"/>
      <name val="Aptos Narrow"/>
      <family val="2"/>
      <scheme val="minor"/>
    </font>
    <font>
      <sz val="18"/>
      <color theme="2"/>
      <name val="Aptos Narrow"/>
      <family val="2"/>
      <scheme val="minor"/>
    </font>
    <font>
      <sz val="12"/>
      <color theme="2"/>
      <name val="Aptos Narrow"/>
      <family val="2"/>
      <scheme val="minor"/>
    </font>
    <font>
      <b/>
      <sz val="18"/>
      <color theme="2"/>
      <name val="Aptos Narrow"/>
      <family val="2"/>
      <scheme val="minor"/>
    </font>
    <font>
      <sz val="22"/>
      <color theme="2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FFA8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18" fillId="33" borderId="10" xfId="0" applyFont="1" applyFill="1" applyBorder="1"/>
    <xf numFmtId="0" fontId="0" fillId="0" borderId="10" xfId="0" applyBorder="1" applyAlignment="1">
      <alignment horizontal="center"/>
    </xf>
    <xf numFmtId="0" fontId="18" fillId="34" borderId="10" xfId="0" applyFont="1" applyFill="1" applyBorder="1"/>
    <xf numFmtId="0" fontId="0" fillId="0" borderId="10" xfId="0" applyBorder="1"/>
    <xf numFmtId="14" fontId="0" fillId="0" borderId="10" xfId="0" applyNumberFormat="1" applyBorder="1" applyAlignment="1">
      <alignment horizontal="center"/>
    </xf>
    <xf numFmtId="0" fontId="18" fillId="0" borderId="0" xfId="0" applyFont="1"/>
    <xf numFmtId="0" fontId="0" fillId="0" borderId="0" xfId="0" applyAlignment="1">
      <alignment horizontal="center"/>
    </xf>
    <xf numFmtId="0" fontId="0" fillId="3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6" borderId="0" xfId="0" applyFill="1"/>
    <xf numFmtId="0" fontId="0" fillId="41" borderId="0" xfId="0" applyFill="1"/>
    <xf numFmtId="0" fontId="23" fillId="39" borderId="0" xfId="0" applyFont="1" applyFill="1" applyAlignment="1">
      <alignment horizontal="center" vertical="center"/>
    </xf>
    <xf numFmtId="1" fontId="24" fillId="39" borderId="0" xfId="0" applyNumberFormat="1" applyFont="1" applyFill="1" applyAlignment="1">
      <alignment horizontal="center" vertical="center"/>
    </xf>
    <xf numFmtId="0" fontId="25" fillId="40" borderId="0" xfId="0" applyFont="1" applyFill="1" applyAlignment="1">
      <alignment horizontal="center" vertical="center"/>
    </xf>
    <xf numFmtId="1" fontId="26" fillId="40" borderId="0" xfId="0" applyNumberFormat="1" applyFont="1" applyFill="1" applyAlignment="1">
      <alignment horizontal="center" vertical="center"/>
    </xf>
    <xf numFmtId="0" fontId="19" fillId="37" borderId="0" xfId="0" applyFont="1" applyFill="1" applyAlignment="1">
      <alignment horizontal="center" vertical="center"/>
    </xf>
    <xf numFmtId="6" fontId="20" fillId="37" borderId="0" xfId="0" applyNumberFormat="1" applyFont="1" applyFill="1" applyAlignment="1">
      <alignment horizontal="center" vertical="center"/>
    </xf>
    <xf numFmtId="0" fontId="20" fillId="37" borderId="0" xfId="0" applyFont="1" applyFill="1" applyAlignment="1">
      <alignment horizontal="center" vertical="center"/>
    </xf>
    <xf numFmtId="0" fontId="21" fillId="38" borderId="0" xfId="0" applyFont="1" applyFill="1" applyAlignment="1">
      <alignment horizontal="center" vertical="center"/>
    </xf>
    <xf numFmtId="6" fontId="22" fillId="38" borderId="0" xfId="0" applyNumberFormat="1" applyFont="1" applyFill="1" applyAlignment="1">
      <alignment horizontal="center" vertical="center"/>
    </xf>
    <xf numFmtId="0" fontId="22" fillId="38" borderId="0" xfId="0" applyFont="1" applyFill="1" applyAlignment="1">
      <alignment horizontal="center" vertical="center"/>
    </xf>
    <xf numFmtId="0" fontId="34" fillId="39" borderId="0" xfId="0" applyFont="1" applyFill="1" applyAlignment="1">
      <alignment horizontal="center" vertical="center"/>
    </xf>
    <xf numFmtId="1" fontId="30" fillId="39" borderId="0" xfId="0" applyNumberFormat="1" applyFont="1" applyFill="1" applyAlignment="1">
      <alignment horizontal="left" vertical="center" indent="9"/>
    </xf>
    <xf numFmtId="0" fontId="31" fillId="37" borderId="0" xfId="0" applyFont="1" applyFill="1" applyAlignment="1">
      <alignment horizontal="center" vertical="center"/>
    </xf>
    <xf numFmtId="6" fontId="27" fillId="37" borderId="0" xfId="0" applyNumberFormat="1" applyFont="1" applyFill="1" applyAlignment="1">
      <alignment horizontal="center" vertical="center"/>
    </xf>
    <xf numFmtId="0" fontId="27" fillId="37" borderId="0" xfId="0" applyFont="1" applyFill="1" applyAlignment="1">
      <alignment horizontal="center" vertical="center"/>
    </xf>
    <xf numFmtId="0" fontId="32" fillId="38" borderId="0" xfId="0" applyFont="1" applyFill="1" applyAlignment="1">
      <alignment horizontal="center" vertical="center"/>
    </xf>
    <xf numFmtId="6" fontId="28" fillId="38" borderId="0" xfId="0" applyNumberFormat="1" applyFont="1" applyFill="1" applyAlignment="1">
      <alignment horizontal="center" vertical="center"/>
    </xf>
    <xf numFmtId="0" fontId="28" fillId="38" borderId="0" xfId="0" applyFont="1" applyFill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1" fontId="29" fillId="40" borderId="0" xfId="0" applyNumberFormat="1" applyFont="1" applyFill="1" applyAlignment="1">
      <alignment horizontal="left" vertical="center" indent="11"/>
    </xf>
    <xf numFmtId="0" fontId="0" fillId="42" borderId="0" xfId="0" applyFill="1"/>
    <xf numFmtId="0" fontId="35" fillId="0" borderId="0" xfId="0" applyFont="1"/>
    <xf numFmtId="0" fontId="37" fillId="0" borderId="0" xfId="0" applyFont="1"/>
    <xf numFmtId="0" fontId="0" fillId="41" borderId="0" xfId="0" applyFill="1"/>
    <xf numFmtId="0" fontId="38" fillId="41" borderId="0" xfId="0" applyFont="1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41" fillId="41" borderId="0" xfId="0" applyFont="1" applyFill="1"/>
    <xf numFmtId="0" fontId="0" fillId="42" borderId="0" xfId="0" applyFill="1"/>
    <xf numFmtId="0" fontId="43" fillId="42" borderId="0" xfId="0" applyFont="1" applyFill="1"/>
    <xf numFmtId="0" fontId="42" fillId="42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555307"/>
      <color rgb="FFEFFA86"/>
      <color rgb="FF605E08"/>
      <color rgb="FFEAF862"/>
      <color rgb="FFE5F640"/>
      <color rgb="FFE5ED7B"/>
      <color rgb="FFF1EDA1"/>
      <color rgb="FF9B980D"/>
      <color rgb="FF716F09"/>
      <color rgb="FFB9B5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[products.xlsx]Order_Chart!PivotTable1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</a:t>
            </a:r>
            <a:r>
              <a:rPr lang="en-IN" baseline="0"/>
              <a:t> Status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Order_Chart!$A$4:$A$6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Order_Chart!$B$4:$B$6</c:f>
              <c:numCache>
                <c:formatCode>General</c:formatCode>
                <c:ptCount val="2"/>
                <c:pt idx="0">
                  <c:v>1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3-48ED-A901-DEE5AE74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909984"/>
        <c:axId val="798912864"/>
      </c:barChart>
      <c:catAx>
        <c:axId val="7989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12864"/>
        <c:crosses val="autoZero"/>
        <c:auto val="1"/>
        <c:lblAlgn val="ctr"/>
        <c:lblOffset val="100"/>
        <c:noMultiLvlLbl val="0"/>
      </c:catAx>
      <c:valAx>
        <c:axId val="7989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0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[products.xlsx]Category_Wise!PivotTable2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-wise Sales &amp; Profit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Category_Wise!$B$3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Category_Wise!$A$4:$A$7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</c:strCache>
            </c:strRef>
          </c:cat>
          <c:val>
            <c:numRef>
              <c:f>Category_Wise!$B$4:$B$7</c:f>
              <c:numCache>
                <c:formatCode>General</c:formatCode>
                <c:ptCount val="3"/>
                <c:pt idx="0">
                  <c:v>43550</c:v>
                </c:pt>
                <c:pt idx="1">
                  <c:v>34700</c:v>
                </c:pt>
                <c:pt idx="2">
                  <c:v>30200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5-4383-A5BB-0ADC16C5097A}"/>
            </c:ext>
          </c:extLst>
        </c:ser>
        <c:ser>
          <c:idx val="1"/>
          <c:order val="1"/>
          <c:tx>
            <c:strRef>
              <c:f>Category_Wise!$C$3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Category_Wise!$A$4:$A$7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</c:strCache>
            </c:strRef>
          </c:cat>
          <c:val>
            <c:numRef>
              <c:f>Category_Wise!$C$4:$C$7</c:f>
              <c:numCache>
                <c:formatCode>General</c:formatCode>
                <c:ptCount val="3"/>
                <c:pt idx="0">
                  <c:v>15750</c:v>
                </c:pt>
                <c:pt idx="1">
                  <c:v>15850</c:v>
                </c:pt>
                <c:pt idx="2">
                  <c:v>11520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95-4383-A5BB-0ADC16C509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3860799"/>
        <c:axId val="1393863679"/>
      </c:barChart>
      <c:catAx>
        <c:axId val="139386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63679"/>
        <c:crosses val="autoZero"/>
        <c:auto val="1"/>
        <c:lblAlgn val="ctr"/>
        <c:lblOffset val="100"/>
        <c:noMultiLvlLbl val="0"/>
      </c:catAx>
      <c:valAx>
        <c:axId val="139386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6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[products.xlsx]Profit_Chart!PivotTable3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Profit_Chart!$A$4:$A$16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Profit_Chart!$B$4:$B$16</c:f>
              <c:numCache>
                <c:formatCode>General</c:formatCode>
                <c:ptCount val="12"/>
                <c:pt idx="0">
                  <c:v>2570</c:v>
                </c:pt>
                <c:pt idx="1">
                  <c:v>4800</c:v>
                </c:pt>
                <c:pt idx="2">
                  <c:v>2920</c:v>
                </c:pt>
                <c:pt idx="3">
                  <c:v>3630</c:v>
                </c:pt>
                <c:pt idx="4">
                  <c:v>3590</c:v>
                </c:pt>
                <c:pt idx="5">
                  <c:v>4590</c:v>
                </c:pt>
                <c:pt idx="6">
                  <c:v>3110</c:v>
                </c:pt>
                <c:pt idx="7">
                  <c:v>4160</c:v>
                </c:pt>
                <c:pt idx="8">
                  <c:v>3020</c:v>
                </c:pt>
                <c:pt idx="9">
                  <c:v>2570</c:v>
                </c:pt>
                <c:pt idx="10">
                  <c:v>2720</c:v>
                </c:pt>
                <c:pt idx="11">
                  <c:v>5440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3-4E89-ABC8-5678499C98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0582959"/>
        <c:axId val="1890583439"/>
      </c:barChart>
      <c:catAx>
        <c:axId val="189058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83439"/>
        <c:crosses val="autoZero"/>
        <c:auto val="1"/>
        <c:lblAlgn val="ctr"/>
        <c:lblOffset val="100"/>
        <c:noMultiLvlLbl val="0"/>
      </c:catAx>
      <c:valAx>
        <c:axId val="189058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8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[products.xlsx]Payment_Chart!PivotTable4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Payment Method</a:t>
            </a:r>
            <a:endParaRPr lang="en-US"/>
          </a:p>
        </c:rich>
      </c:tx>
      <c:layout>
        <c:manualLayout>
          <c:xMode val="edge"/>
          <c:yMode val="edge"/>
          <c:x val="0.40724255056353248"/>
          <c:y val="5.0632945036675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3755152848540998"/>
          <c:y val="0.23081978193280969"/>
          <c:w val="0.35240048118985129"/>
          <c:h val="0.58733413531641876"/>
        </c:manualLayout>
      </c:layout>
      <c:pieChart>
        <c:varyColors val="1"/>
        <c:ser>
          <c:idx val="0"/>
          <c:order val="0"/>
          <c:tx>
            <c:strRef>
              <c:f>Payment_Chart!$B$3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D9-49C7-B40C-8C3B9A903A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D9-49C7-B40C-8C3B9A903A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D9-49C7-B40C-8C3B9A903AA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Payment_Chart!$A$4:$A$7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Payment_Chart!$B$4:$B$7</c:f>
              <c:numCache>
                <c:formatCode>General</c:formatCode>
                <c:ptCount val="3"/>
                <c:pt idx="0">
                  <c:v>17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D9-49C7-B40C-8C3B9A903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[products.xlsx]Order_Chart!PivotTable1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</a:t>
            </a:r>
            <a:r>
              <a:rPr lang="en-IN" baseline="0"/>
              <a:t> Status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870751407524742E-2"/>
          <c:y val="0.13596295404780023"/>
          <c:w val="0.80781207958289547"/>
          <c:h val="0.752611243975794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Order_Chart!$B$3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Order_Chart!$A$4:$A$6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Order_Chart!$B$4:$B$6</c:f>
              <c:numCache>
                <c:formatCode>General</c:formatCode>
                <c:ptCount val="2"/>
                <c:pt idx="0">
                  <c:v>1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F-46C0-8514-8622A35731C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909984"/>
        <c:axId val="798912864"/>
      </c:barChart>
      <c:catAx>
        <c:axId val="79890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12864"/>
        <c:crosses val="autoZero"/>
        <c:auto val="1"/>
        <c:lblAlgn val="ctr"/>
        <c:lblOffset val="100"/>
        <c:noMultiLvlLbl val="0"/>
      </c:catAx>
      <c:valAx>
        <c:axId val="7989128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0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[products.xlsx]Category_Wise!PivotTable2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-wise Sales &amp; Profit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Category_Wise!$B$3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Category_Wise!$A$4:$A$7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</c:strCache>
            </c:strRef>
          </c:cat>
          <c:val>
            <c:numRef>
              <c:f>Category_Wise!$B$4:$B$7</c:f>
              <c:numCache>
                <c:formatCode>General</c:formatCode>
                <c:ptCount val="3"/>
                <c:pt idx="0">
                  <c:v>43550</c:v>
                </c:pt>
                <c:pt idx="1">
                  <c:v>34700</c:v>
                </c:pt>
                <c:pt idx="2">
                  <c:v>30200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E-41EA-940B-30849B7D9811}"/>
            </c:ext>
          </c:extLst>
        </c:ser>
        <c:ser>
          <c:idx val="1"/>
          <c:order val="1"/>
          <c:tx>
            <c:strRef>
              <c:f>Category_Wise!$C$3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Category_Wise!$A$4:$A$7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</c:strCache>
            </c:strRef>
          </c:cat>
          <c:val>
            <c:numRef>
              <c:f>Category_Wise!$C$4:$C$7</c:f>
              <c:numCache>
                <c:formatCode>General</c:formatCode>
                <c:ptCount val="3"/>
                <c:pt idx="0">
                  <c:v>15750</c:v>
                </c:pt>
                <c:pt idx="1">
                  <c:v>15850</c:v>
                </c:pt>
                <c:pt idx="2">
                  <c:v>11520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E-41EA-940B-30849B7D98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3860799"/>
        <c:axId val="1393863679"/>
      </c:barChart>
      <c:catAx>
        <c:axId val="139386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63679"/>
        <c:crosses val="autoZero"/>
        <c:auto val="1"/>
        <c:lblAlgn val="ctr"/>
        <c:lblOffset val="100"/>
        <c:noMultiLvlLbl val="0"/>
      </c:catAx>
      <c:valAx>
        <c:axId val="139386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6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[products.xlsx]Profit_Chart!PivotTable3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Profit_Chart!$A$4:$A$16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Profit_Chart!$B$4:$B$16</c:f>
              <c:numCache>
                <c:formatCode>General</c:formatCode>
                <c:ptCount val="12"/>
                <c:pt idx="0">
                  <c:v>2570</c:v>
                </c:pt>
                <c:pt idx="1">
                  <c:v>4800</c:v>
                </c:pt>
                <c:pt idx="2">
                  <c:v>2920</c:v>
                </c:pt>
                <c:pt idx="3">
                  <c:v>3630</c:v>
                </c:pt>
                <c:pt idx="4">
                  <c:v>3590</c:v>
                </c:pt>
                <c:pt idx="5">
                  <c:v>4590</c:v>
                </c:pt>
                <c:pt idx="6">
                  <c:v>3110</c:v>
                </c:pt>
                <c:pt idx="7">
                  <c:v>4160</c:v>
                </c:pt>
                <c:pt idx="8">
                  <c:v>3020</c:v>
                </c:pt>
                <c:pt idx="9">
                  <c:v>2570</c:v>
                </c:pt>
                <c:pt idx="10">
                  <c:v>2720</c:v>
                </c:pt>
                <c:pt idx="11">
                  <c:v>5440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0-4988-93BC-4B40FF4C52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0582959"/>
        <c:axId val="1890583439"/>
      </c:barChart>
      <c:catAx>
        <c:axId val="189058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83439"/>
        <c:crosses val="autoZero"/>
        <c:auto val="1"/>
        <c:lblAlgn val="ctr"/>
        <c:lblOffset val="100"/>
        <c:noMultiLvlLbl val="0"/>
      </c:catAx>
      <c:valAx>
        <c:axId val="189058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8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[products.xlsx]Payment_Chart!PivotTable4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Payment Method</a:t>
            </a:r>
            <a:endParaRPr lang="en-US"/>
          </a:p>
        </c:rich>
      </c:tx>
      <c:layout>
        <c:manualLayout>
          <c:xMode val="edge"/>
          <c:yMode val="edge"/>
          <c:x val="0.37424283198777369"/>
          <c:y val="4.6511613793940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484098793644485"/>
          <c:y val="8.4906967531567817E-2"/>
          <c:w val="0.18457636801708935"/>
          <c:h val="0.68035749274094659"/>
        </c:manualLayout>
      </c:layout>
      <c:pieChart>
        <c:varyColors val="1"/>
        <c:ser>
          <c:idx val="0"/>
          <c:order val="0"/>
          <c:tx>
            <c:strRef>
              <c:f>Payment_Chart!$B$3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D9-4075-97AD-FD24D336AF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D9-4075-97AD-FD24D336AF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D9-4075-97AD-FD24D336AF6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Payment_Chart!$A$4:$A$7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Payment_Chart!$B$4:$B$7</c:f>
              <c:numCache>
                <c:formatCode>General</c:formatCode>
                <c:ptCount val="3"/>
                <c:pt idx="0">
                  <c:v>17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D9-4075-97AD-FD24D336A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353254593175853"/>
          <c:y val="0.10082017204496836"/>
          <c:w val="0.48477739967046707"/>
          <c:h val="0.640507013676990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[products.xlsx]Order_Chart!PivotTable1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</a:t>
            </a:r>
            <a:r>
              <a:rPr lang="en-IN" baseline="0"/>
              <a:t> Status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Order_Chart!$A$4:$A$6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Order_Chart!$B$4:$B$6</c:f>
              <c:numCache>
                <c:formatCode>General</c:formatCode>
                <c:ptCount val="2"/>
                <c:pt idx="0">
                  <c:v>1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6-4B9A-B19C-C1F4A03E07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8909984"/>
        <c:axId val="798912864"/>
      </c:barChart>
      <c:catAx>
        <c:axId val="79890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12864"/>
        <c:crosses val="autoZero"/>
        <c:auto val="1"/>
        <c:lblAlgn val="ctr"/>
        <c:lblOffset val="100"/>
        <c:noMultiLvlLbl val="0"/>
      </c:catAx>
      <c:valAx>
        <c:axId val="7989128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90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[products.xlsx]Payment_Chart!PivotTable4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011920384951884"/>
          <c:y val="0.24769757946923296"/>
          <c:w val="0.35240048118985129"/>
          <c:h val="0.58733413531641876"/>
        </c:manualLayout>
      </c:layout>
      <c:pieChart>
        <c:varyColors val="1"/>
        <c:ser>
          <c:idx val="0"/>
          <c:order val="0"/>
          <c:tx>
            <c:strRef>
              <c:f>Payment_Chart!$B$3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B4-454C-A24A-8F657A0A58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B4-454C-A24A-8F657A0A58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B4-454C-A24A-8F657A0A582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Payment_Chart!$A$4:$A$7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Payment_Chart!$B$4:$B$7</c:f>
              <c:numCache>
                <c:formatCode>General</c:formatCode>
                <c:ptCount val="3"/>
                <c:pt idx="0">
                  <c:v>17</c:v>
                </c:pt>
                <c:pt idx="1">
                  <c:v>12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2-48FA-9E87-A37C80542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[products.xlsx]Revenue_Chart!PivotTable1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Revenue_Chart!$A$4:$A$16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Revenue_Chart!$B$4:$B$16</c:f>
              <c:numCache>
                <c:formatCode>General</c:formatCode>
                <c:ptCount val="12"/>
                <c:pt idx="0">
                  <c:v>6250</c:v>
                </c:pt>
                <c:pt idx="1">
                  <c:v>12000</c:v>
                </c:pt>
                <c:pt idx="2">
                  <c:v>7550</c:v>
                </c:pt>
                <c:pt idx="3">
                  <c:v>7950</c:v>
                </c:pt>
                <c:pt idx="4">
                  <c:v>9900</c:v>
                </c:pt>
                <c:pt idx="5">
                  <c:v>11300</c:v>
                </c:pt>
                <c:pt idx="6">
                  <c:v>9000</c:v>
                </c:pt>
                <c:pt idx="7">
                  <c:v>9600</c:v>
                </c:pt>
                <c:pt idx="8">
                  <c:v>8100</c:v>
                </c:pt>
                <c:pt idx="9">
                  <c:v>6600</c:v>
                </c:pt>
                <c:pt idx="10">
                  <c:v>7000</c:v>
                </c:pt>
                <c:pt idx="11">
                  <c:v>13200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8-4582-8436-6ABEEE34D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006911"/>
        <c:axId val="1884004991"/>
      </c:barChart>
      <c:catAx>
        <c:axId val="188400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004991"/>
        <c:crosses val="autoZero"/>
        <c:auto val="1"/>
        <c:lblAlgn val="ctr"/>
        <c:lblOffset val="100"/>
        <c:noMultiLvlLbl val="0"/>
      </c:catAx>
      <c:valAx>
        <c:axId val="188400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00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[products.xlsx]Profit_Chart!PivotTable3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Profit_Chart!$A$4:$A$16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Profit_Chart!$B$4:$B$16</c:f>
              <c:numCache>
                <c:formatCode>General</c:formatCode>
                <c:ptCount val="12"/>
                <c:pt idx="0">
                  <c:v>2570</c:v>
                </c:pt>
                <c:pt idx="1">
                  <c:v>4800</c:v>
                </c:pt>
                <c:pt idx="2">
                  <c:v>2920</c:v>
                </c:pt>
                <c:pt idx="3">
                  <c:v>3630</c:v>
                </c:pt>
                <c:pt idx="4">
                  <c:v>3590</c:v>
                </c:pt>
                <c:pt idx="5">
                  <c:v>4590</c:v>
                </c:pt>
                <c:pt idx="6">
                  <c:v>3110</c:v>
                </c:pt>
                <c:pt idx="7">
                  <c:v>4160</c:v>
                </c:pt>
                <c:pt idx="8">
                  <c:v>3020</c:v>
                </c:pt>
                <c:pt idx="9">
                  <c:v>2570</c:v>
                </c:pt>
                <c:pt idx="10">
                  <c:v>2720</c:v>
                </c:pt>
                <c:pt idx="11">
                  <c:v>5440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9-454A-88CE-DDAEC1A268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0582959"/>
        <c:axId val="1890583439"/>
      </c:barChart>
      <c:catAx>
        <c:axId val="189058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83439"/>
        <c:crosses val="autoZero"/>
        <c:auto val="1"/>
        <c:lblAlgn val="ctr"/>
        <c:lblOffset val="100"/>
        <c:noMultiLvlLbl val="0"/>
      </c:catAx>
      <c:valAx>
        <c:axId val="18905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8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[products.xlsx]Category_Wise!PivotTable2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-wise Sales &amp; Profit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Category_Wise!$B$3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Category_Wise!$A$4:$A$7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</c:strCache>
            </c:strRef>
          </c:cat>
          <c:val>
            <c:numRef>
              <c:f>Category_Wise!$B$4:$B$7</c:f>
              <c:numCache>
                <c:formatCode>General</c:formatCode>
                <c:ptCount val="3"/>
                <c:pt idx="0">
                  <c:v>43550</c:v>
                </c:pt>
                <c:pt idx="1">
                  <c:v>34700</c:v>
                </c:pt>
                <c:pt idx="2">
                  <c:v>30200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7-4001-BFD1-4BCE1A6374B7}"/>
            </c:ext>
          </c:extLst>
        </c:ser>
        <c:ser>
          <c:idx val="1"/>
          <c:order val="1"/>
          <c:tx>
            <c:strRef>
              <c:f>Category_Wise!$C$3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Category_Wise!$A$4:$A$7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</c:strCache>
            </c:strRef>
          </c:cat>
          <c:val>
            <c:numRef>
              <c:f>Category_Wise!$C$4:$C$7</c:f>
              <c:numCache>
                <c:formatCode>General</c:formatCode>
                <c:ptCount val="3"/>
                <c:pt idx="0">
                  <c:v>15750</c:v>
                </c:pt>
                <c:pt idx="1">
                  <c:v>15850</c:v>
                </c:pt>
                <c:pt idx="2">
                  <c:v>11520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7-4001-BFD1-4BCE1A6374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93860799"/>
        <c:axId val="1393863679"/>
      </c:barChart>
      <c:catAx>
        <c:axId val="139386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63679"/>
        <c:crosses val="autoZero"/>
        <c:auto val="1"/>
        <c:lblAlgn val="ctr"/>
        <c:lblOffset val="100"/>
        <c:noMultiLvlLbl val="0"/>
      </c:catAx>
      <c:valAx>
        <c:axId val="139386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6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png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128587</xdr:rowOff>
    </xdr:from>
    <xdr:to>
      <xdr:col>10</xdr:col>
      <xdr:colOff>504825</xdr:colOff>
      <xdr:row>17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06139-620E-E7D7-6462-9FC35C8DE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5</xdr:row>
      <xdr:rowOff>112712</xdr:rowOff>
    </xdr:from>
    <xdr:to>
      <xdr:col>6</xdr:col>
      <xdr:colOff>981075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31CB3-9701-4494-BD39-B69601221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333374</xdr:colOff>
      <xdr:row>14</xdr:row>
      <xdr:rowOff>19051</xdr:rowOff>
    </xdr:from>
    <xdr:to>
      <xdr:col>14</xdr:col>
      <xdr:colOff>76199</xdr:colOff>
      <xdr:row>21</xdr:row>
      <xdr:rowOff>171451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BBCBF6-1196-4FC1-B97C-B85C9F8A6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6</xdr:col>
      <xdr:colOff>981075</xdr:colOff>
      <xdr:row>21</xdr:row>
      <xdr:rowOff>171449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2A82C-A1A7-4638-8071-48669C67E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342900</xdr:colOff>
      <xdr:row>5</xdr:row>
      <xdr:rowOff>114301</xdr:rowOff>
    </xdr:from>
    <xdr:to>
      <xdr:col>14</xdr:col>
      <xdr:colOff>76199</xdr:colOff>
      <xdr:row>13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1CFF71-4E50-48A0-8413-A9FC221B0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</xdr:row>
      <xdr:rowOff>485775</xdr:rowOff>
    </xdr:from>
    <xdr:to>
      <xdr:col>1</xdr:col>
      <xdr:colOff>419100</xdr:colOff>
      <xdr:row>2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C98422-0DA1-990A-BC80-8A93029CE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"/>
          <a:ext cx="4191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76199</xdr:rowOff>
    </xdr:from>
    <xdr:to>
      <xdr:col>4</xdr:col>
      <xdr:colOff>2371724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2A6793-9B98-41BB-A78B-232175E31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123824</xdr:colOff>
      <xdr:row>6</xdr:row>
      <xdr:rowOff>76200</xdr:rowOff>
    </xdr:from>
    <xdr:to>
      <xdr:col>10</xdr:col>
      <xdr:colOff>2505074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F6CAA1-07E5-4768-AD21-59DAA26D0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4</xdr:col>
      <xdr:colOff>2362200</xdr:colOff>
      <xdr:row>24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9FFD32-D53A-49E4-A98F-CE764B6A3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123824</xdr:colOff>
      <xdr:row>16</xdr:row>
      <xdr:rowOff>0</xdr:rowOff>
    </xdr:from>
    <xdr:to>
      <xdr:col>11</xdr:col>
      <xdr:colOff>0</xdr:colOff>
      <xdr:row>24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7929AF-FB32-4D17-9422-7BED112E0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2</xdr:row>
      <xdr:rowOff>185736</xdr:rowOff>
    </xdr:from>
    <xdr:to>
      <xdr:col>11</xdr:col>
      <xdr:colOff>561975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807B2-175B-D0CA-2B3A-9E4421C72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166685</xdr:rowOff>
    </xdr:from>
    <xdr:to>
      <xdr:col>11</xdr:col>
      <xdr:colOff>600075</xdr:colOff>
      <xdr:row>19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E2587-ABD7-61A1-AFA0-A1C6B598B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</xdr:row>
      <xdr:rowOff>171450</xdr:rowOff>
    </xdr:from>
    <xdr:to>
      <xdr:col>12</xdr:col>
      <xdr:colOff>466724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39D57-5BC1-721A-25B0-7A29B4925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914400</xdr:colOff>
      <xdr:row>8</xdr:row>
      <xdr:rowOff>123824</xdr:rowOff>
    </xdr:from>
    <xdr:to>
      <xdr:col>9</xdr:col>
      <xdr:colOff>200025</xdr:colOff>
      <xdr:row>25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12C980-D21E-4A15-9AA4-5D5755C7D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18.443462499999" createdVersion="8" refreshedVersion="8" minRefreshableVersion="3" recordCount="48" xr:uid="{F96E5EB3-C1FA-4ABC-BB20-65218D7DC707}">
  <cacheSource type="worksheet">
    <worksheetSource ref="A1:N1048576" sheet="orders"/>
  </cacheSource>
  <cacheFields count="14">
    <cacheField name="order_id" numFmtId="0">
      <sharedItems containsString="0" containsBlank="1" containsNumber="1" containsInteger="1" minValue="5001" maxValue="5047"/>
    </cacheField>
    <cacheField name="order_date" numFmtId="0">
      <sharedItems containsNonDate="0" containsDate="1" containsString="0" containsBlank="1" minDate="2024-01-05T00:00:00" maxDate="2024-12-31T00:00:00"/>
    </cacheField>
    <cacheField name="customer_id" numFmtId="0">
      <sharedItems containsString="0" containsBlank="1" containsNumber="1" containsInteger="1" minValue="1001" maxValue="1012"/>
    </cacheField>
    <cacheField name="product_id" numFmtId="0">
      <sharedItems containsString="0" containsBlank="1" containsNumber="1" containsInteger="1" minValue="201" maxValue="210"/>
    </cacheField>
    <cacheField name="quantity" numFmtId="0">
      <sharedItems containsString="0" containsBlank="1" containsNumber="1" containsInteger="1" minValue="1" maxValue="6"/>
    </cacheField>
    <cacheField name="unit_price" numFmtId="0">
      <sharedItems containsString="0" containsBlank="1" containsNumber="1" containsInteger="1" minValue="350" maxValue="3200"/>
    </cacheField>
    <cacheField name="unit_cost" numFmtId="0">
      <sharedItems containsString="0" containsBlank="1" containsNumber="1" containsInteger="1" minValue="180" maxValue="2200"/>
    </cacheField>
    <cacheField name="discount_pct" numFmtId="0">
      <sharedItems containsString="0" containsBlank="1" containsNumber="1" minValue="0" maxValue="0.2"/>
    </cacheField>
    <cacheField name="order_status" numFmtId="0">
      <sharedItems containsBlank="1"/>
    </cacheField>
    <cacheField name="payment_method" numFmtId="0">
      <sharedItems containsBlank="1"/>
    </cacheField>
    <cacheField name="revenue" numFmtId="0">
      <sharedItems containsString="0" containsBlank="1" containsNumber="1" containsInteger="1" minValue="700" maxValue="4800" count="21">
        <n v="1300"/>
        <n v="1500"/>
        <n v="1050"/>
        <n v="2400"/>
        <n v="3200"/>
        <n v="2800"/>
        <n v="3600"/>
        <n v="1400"/>
        <n v="1800"/>
        <n v="1950"/>
        <n v="3000"/>
        <n v="1750"/>
        <n v="1200"/>
        <n v="2700"/>
        <n v="4800"/>
        <n v="900"/>
        <n v="2100"/>
        <n v="2600"/>
        <n v="700"/>
        <n v="3500"/>
        <m/>
      </sharedItems>
    </cacheField>
    <cacheField name="total_cost" numFmtId="0">
      <sharedItems containsString="0" containsBlank="1" containsNumber="1" containsInteger="1" minValue="360" maxValue="2900"/>
    </cacheField>
    <cacheField name="profit" numFmtId="0">
      <sharedItems containsString="0" containsBlank="1" containsNumber="1" containsInteger="1" minValue="340" maxValue="2000"/>
    </cacheField>
    <cacheField name="category" numFmtId="0">
      <sharedItems containsBlank="1" count="4">
        <s v="Electronics"/>
        <s v="Fashion"/>
        <s v="Home &amp; Kitche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18.492947685183" createdVersion="8" refreshedVersion="8" minRefreshableVersion="3" recordCount="47" xr:uid="{CAC85AFA-F44D-4099-AEED-2B873FB977BA}">
  <cacheSource type="worksheet">
    <worksheetSource ref="A1:O48" sheet="orders"/>
  </cacheSource>
  <cacheFields count="15">
    <cacheField name="order_id" numFmtId="0">
      <sharedItems containsSemiMixedTypes="0" containsString="0" containsNumber="1" containsInteger="1" minValue="5001" maxValue="5047"/>
    </cacheField>
    <cacheField name="order_date" numFmtId="14">
      <sharedItems containsSemiMixedTypes="0" containsNonDate="0" containsDate="1" containsString="0" minDate="2024-01-05T00:00:00" maxDate="2024-12-31T00:00:00"/>
    </cacheField>
    <cacheField name="customer_id" numFmtId="0">
      <sharedItems containsSemiMixedTypes="0" containsString="0" containsNumber="1" containsInteger="1" minValue="1001" maxValue="1012"/>
    </cacheField>
    <cacheField name="product_id" numFmtId="0">
      <sharedItems containsSemiMixedTypes="0" containsString="0" containsNumber="1" containsInteger="1" minValue="201" maxValue="210"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350" maxValue="3200"/>
    </cacheField>
    <cacheField name="unit_cost" numFmtId="0">
      <sharedItems containsSemiMixedTypes="0" containsString="0" containsNumber="1" containsInteger="1" minValue="180" maxValue="2200"/>
    </cacheField>
    <cacheField name="discount_pct" numFmtId="0">
      <sharedItems containsSemiMixedTypes="0" containsString="0" containsNumber="1" minValue="0" maxValue="0.2"/>
    </cacheField>
    <cacheField name="order_status" numFmtId="0">
      <sharedItems count="2">
        <s v="Delivered"/>
        <s v="Cancelled"/>
      </sharedItems>
    </cacheField>
    <cacheField name="payment_method" numFmtId="0">
      <sharedItems count="3">
        <s v="UPI"/>
        <s v="Card"/>
        <s v="Cash"/>
      </sharedItems>
    </cacheField>
    <cacheField name="revenue" numFmtId="0">
      <sharedItems containsSemiMixedTypes="0" containsString="0" containsNumber="1" containsInteger="1" minValue="700" maxValue="4800"/>
    </cacheField>
    <cacheField name="total_cost" numFmtId="0">
      <sharedItems containsSemiMixedTypes="0" containsString="0" containsNumber="1" containsInteger="1" minValue="360" maxValue="2900"/>
    </cacheField>
    <cacheField name="profit" numFmtId="0">
      <sharedItems containsSemiMixedTypes="0" containsString="0" containsNumber="1" containsInteger="1" minValue="340" maxValue="2000"/>
    </cacheField>
    <cacheField name="category" numFmtId="0">
      <sharedItems count="3">
        <s v="Electronics"/>
        <s v="Fashion"/>
        <s v="Home &amp; Kitchen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5001"/>
    <d v="2024-01-05T00:00:00"/>
    <n v="1001"/>
    <n v="201"/>
    <n v="2"/>
    <n v="650"/>
    <n v="420"/>
    <n v="0"/>
    <s v="Delivered"/>
    <s v="UPI"/>
    <x v="0"/>
    <n v="840"/>
    <n v="460"/>
    <x v="0"/>
  </r>
  <r>
    <n v="5002"/>
    <d v="2024-01-08T00:00:00"/>
    <n v="1002"/>
    <n v="204"/>
    <n v="1"/>
    <n v="1500"/>
    <n v="850"/>
    <n v="0.1"/>
    <s v="Delivered"/>
    <s v="Card"/>
    <x v="1"/>
    <n v="850"/>
    <n v="650"/>
    <x v="1"/>
  </r>
  <r>
    <n v="5003"/>
    <d v="2024-01-15T00:00:00"/>
    <n v="1003"/>
    <n v="203"/>
    <n v="3"/>
    <n v="350"/>
    <n v="180"/>
    <n v="0"/>
    <s v="Delivered"/>
    <s v="Cash"/>
    <x v="2"/>
    <n v="540"/>
    <n v="510"/>
    <x v="2"/>
  </r>
  <r>
    <n v="5004"/>
    <d v="2024-01-21T00:00:00"/>
    <n v="1004"/>
    <n v="205"/>
    <n v="1"/>
    <n v="2400"/>
    <n v="1450"/>
    <n v="0.15"/>
    <s v="Delivered"/>
    <s v="UPI"/>
    <x v="3"/>
    <n v="1450"/>
    <n v="950"/>
    <x v="1"/>
  </r>
  <r>
    <n v="5005"/>
    <d v="2024-02-02T00:00:00"/>
    <n v="1005"/>
    <n v="202"/>
    <n v="2"/>
    <n v="1200"/>
    <n v="780"/>
    <n v="0.05"/>
    <s v="Delivered"/>
    <s v="Card"/>
    <x v="3"/>
    <n v="1560"/>
    <n v="840"/>
    <x v="0"/>
  </r>
  <r>
    <n v="5006"/>
    <d v="2024-02-09T00:00:00"/>
    <n v="1006"/>
    <n v="206"/>
    <n v="1"/>
    <n v="3200"/>
    <n v="2200"/>
    <n v="0.1"/>
    <s v="Delivered"/>
    <s v="UPI"/>
    <x v="4"/>
    <n v="2200"/>
    <n v="1000"/>
    <x v="2"/>
  </r>
  <r>
    <n v="5007"/>
    <d v="2024-02-14T00:00:00"/>
    <n v="1007"/>
    <n v="209"/>
    <n v="4"/>
    <n v="700"/>
    <n v="300"/>
    <n v="0"/>
    <s v="Delivered"/>
    <s v="Cash"/>
    <x v="5"/>
    <n v="1200"/>
    <n v="1600"/>
    <x v="1"/>
  </r>
  <r>
    <n v="5008"/>
    <d v="2024-02-25T00:00:00"/>
    <n v="1008"/>
    <n v="207"/>
    <n v="2"/>
    <n v="1800"/>
    <n v="1120"/>
    <n v="0.05"/>
    <s v="Delivered"/>
    <s v="Card"/>
    <x v="6"/>
    <n v="2240"/>
    <n v="1360"/>
    <x v="0"/>
  </r>
  <r>
    <n v="5009"/>
    <d v="2024-03-03T00:00:00"/>
    <n v="1009"/>
    <n v="210"/>
    <n v="1"/>
    <n v="1400"/>
    <n v="900"/>
    <n v="0"/>
    <s v="Delivered"/>
    <s v="UPI"/>
    <x v="7"/>
    <n v="900"/>
    <n v="500"/>
    <x v="0"/>
  </r>
  <r>
    <n v="5010"/>
    <d v="2024-03-11T00:00:00"/>
    <n v="1010"/>
    <n v="208"/>
    <n v="2"/>
    <n v="900"/>
    <n v="510"/>
    <n v="0.1"/>
    <s v="Delivered"/>
    <s v="Cash"/>
    <x v="8"/>
    <n v="1020"/>
    <n v="780"/>
    <x v="2"/>
  </r>
  <r>
    <n v="5011"/>
    <d v="2024-03-18T00:00:00"/>
    <n v="1001"/>
    <n v="205"/>
    <n v="1"/>
    <n v="2400"/>
    <n v="1450"/>
    <n v="0.05"/>
    <s v="Delivered"/>
    <s v="Card"/>
    <x v="3"/>
    <n v="1450"/>
    <n v="950"/>
    <x v="1"/>
  </r>
  <r>
    <n v="5012"/>
    <d v="2024-03-25T00:00:00"/>
    <n v="1002"/>
    <n v="201"/>
    <n v="3"/>
    <n v="650"/>
    <n v="420"/>
    <n v="0"/>
    <s v="Delivered"/>
    <s v="UPI"/>
    <x v="9"/>
    <n v="1260"/>
    <n v="690"/>
    <x v="0"/>
  </r>
  <r>
    <n v="5013"/>
    <d v="2024-04-02T00:00:00"/>
    <n v="1003"/>
    <n v="204"/>
    <n v="2"/>
    <n v="1500"/>
    <n v="850"/>
    <n v="0.1"/>
    <s v="Delivered"/>
    <s v="Card"/>
    <x v="10"/>
    <n v="1700"/>
    <n v="1300"/>
    <x v="1"/>
  </r>
  <r>
    <n v="5014"/>
    <d v="2024-04-07T00:00:00"/>
    <n v="1004"/>
    <n v="203"/>
    <n v="5"/>
    <n v="350"/>
    <n v="180"/>
    <n v="0.05"/>
    <s v="Delivered"/>
    <s v="Cash"/>
    <x v="11"/>
    <n v="900"/>
    <n v="850"/>
    <x v="2"/>
  </r>
  <r>
    <n v="5015"/>
    <d v="2024-04-15T00:00:00"/>
    <n v="1005"/>
    <n v="207"/>
    <n v="1"/>
    <n v="1800"/>
    <n v="1120"/>
    <n v="0"/>
    <s v="Delivered"/>
    <s v="UPI"/>
    <x v="8"/>
    <n v="1120"/>
    <n v="680"/>
    <x v="0"/>
  </r>
  <r>
    <n v="5016"/>
    <d v="2024-04-23T00:00:00"/>
    <n v="1006"/>
    <n v="209"/>
    <n v="2"/>
    <n v="700"/>
    <n v="300"/>
    <n v="0.15"/>
    <s v="Cancelled"/>
    <s v="Card"/>
    <x v="7"/>
    <n v="600"/>
    <n v="800"/>
    <x v="1"/>
  </r>
  <r>
    <n v="5017"/>
    <d v="2024-05-01T00:00:00"/>
    <n v="1007"/>
    <n v="206"/>
    <n v="1"/>
    <n v="3200"/>
    <n v="2200"/>
    <n v="0.05"/>
    <s v="Delivered"/>
    <s v="UPI"/>
    <x v="4"/>
    <n v="2200"/>
    <n v="1000"/>
    <x v="2"/>
  </r>
  <r>
    <n v="5018"/>
    <d v="2024-05-09T00:00:00"/>
    <n v="1008"/>
    <n v="202"/>
    <n v="1"/>
    <n v="1200"/>
    <n v="780"/>
    <n v="0"/>
    <s v="Delivered"/>
    <s v="Card"/>
    <x v="12"/>
    <n v="780"/>
    <n v="420"/>
    <x v="0"/>
  </r>
  <r>
    <n v="5019"/>
    <d v="2024-05-17T00:00:00"/>
    <n v="1009"/>
    <n v="208"/>
    <n v="3"/>
    <n v="900"/>
    <n v="510"/>
    <n v="0.1"/>
    <s v="Delivered"/>
    <s v="Cash"/>
    <x v="13"/>
    <n v="1530"/>
    <n v="1170"/>
    <x v="2"/>
  </r>
  <r>
    <n v="5020"/>
    <d v="2024-05-28T00:00:00"/>
    <n v="1010"/>
    <n v="210"/>
    <n v="2"/>
    <n v="1400"/>
    <n v="900"/>
    <n v="0.05"/>
    <s v="Delivered"/>
    <s v="UPI"/>
    <x v="5"/>
    <n v="1800"/>
    <n v="1000"/>
    <x v="0"/>
  </r>
  <r>
    <n v="5021"/>
    <d v="2024-06-04T00:00:00"/>
    <n v="1011"/>
    <n v="205"/>
    <n v="2"/>
    <n v="2400"/>
    <n v="1450"/>
    <n v="0.1"/>
    <s v="Delivered"/>
    <s v="Card"/>
    <x v="14"/>
    <n v="2900"/>
    <n v="1900"/>
    <x v="1"/>
  </r>
  <r>
    <n v="5022"/>
    <d v="2024-06-12T00:00:00"/>
    <n v="1012"/>
    <n v="204"/>
    <n v="1"/>
    <n v="1500"/>
    <n v="850"/>
    <n v="0"/>
    <s v="Delivered"/>
    <s v="UPI"/>
    <x v="1"/>
    <n v="850"/>
    <n v="650"/>
    <x v="1"/>
  </r>
  <r>
    <n v="5023"/>
    <d v="2024-06-20T00:00:00"/>
    <n v="1001"/>
    <n v="203"/>
    <n v="4"/>
    <n v="350"/>
    <n v="180"/>
    <n v="0.05"/>
    <s v="Delivered"/>
    <s v="Cash"/>
    <x v="7"/>
    <n v="720"/>
    <n v="680"/>
    <x v="2"/>
  </r>
  <r>
    <n v="5024"/>
    <d v="2024-06-27T00:00:00"/>
    <n v="1002"/>
    <n v="207"/>
    <n v="2"/>
    <n v="1800"/>
    <n v="1120"/>
    <n v="0"/>
    <s v="Delivered"/>
    <s v="Card"/>
    <x v="6"/>
    <n v="2240"/>
    <n v="1360"/>
    <x v="0"/>
  </r>
  <r>
    <n v="5025"/>
    <d v="2024-07-03T00:00:00"/>
    <n v="1003"/>
    <n v="206"/>
    <n v="1"/>
    <n v="3200"/>
    <n v="2200"/>
    <n v="0.15"/>
    <s v="Delivered"/>
    <s v="UPI"/>
    <x v="4"/>
    <n v="2200"/>
    <n v="1000"/>
    <x v="2"/>
  </r>
  <r>
    <n v="5026"/>
    <d v="2024-07-11T00:00:00"/>
    <n v="1004"/>
    <n v="201"/>
    <n v="2"/>
    <n v="650"/>
    <n v="420"/>
    <n v="0"/>
    <s v="Delivered"/>
    <s v="Card"/>
    <x v="0"/>
    <n v="840"/>
    <n v="460"/>
    <x v="0"/>
  </r>
  <r>
    <n v="5027"/>
    <d v="2024-07-19T00:00:00"/>
    <n v="1005"/>
    <n v="208"/>
    <n v="1"/>
    <n v="900"/>
    <n v="510"/>
    <n v="0.05"/>
    <s v="Delivered"/>
    <s v="Cash"/>
    <x v="15"/>
    <n v="510"/>
    <n v="390"/>
    <x v="2"/>
  </r>
  <r>
    <n v="5028"/>
    <d v="2024-07-25T00:00:00"/>
    <n v="1006"/>
    <n v="202"/>
    <n v="3"/>
    <n v="1200"/>
    <n v="780"/>
    <n v="0.1"/>
    <s v="Delivered"/>
    <s v="UPI"/>
    <x v="6"/>
    <n v="2340"/>
    <n v="1260"/>
    <x v="0"/>
  </r>
  <r>
    <n v="5029"/>
    <d v="2024-08-02T00:00:00"/>
    <n v="1007"/>
    <n v="205"/>
    <n v="1"/>
    <n v="2400"/>
    <n v="1450"/>
    <n v="0"/>
    <s v="Delivered"/>
    <s v="Card"/>
    <x v="3"/>
    <n v="1450"/>
    <n v="950"/>
    <x v="1"/>
  </r>
  <r>
    <n v="5030"/>
    <d v="2024-08-10T00:00:00"/>
    <n v="1008"/>
    <n v="209"/>
    <n v="3"/>
    <n v="700"/>
    <n v="300"/>
    <n v="0.05"/>
    <s v="Delivered"/>
    <s v="UPI"/>
    <x v="16"/>
    <n v="900"/>
    <n v="1200"/>
    <x v="1"/>
  </r>
  <r>
    <n v="5031"/>
    <d v="2024-08-18T00:00:00"/>
    <n v="1009"/>
    <n v="204"/>
    <n v="1"/>
    <n v="1500"/>
    <n v="850"/>
    <n v="0.2"/>
    <s v="Delivered"/>
    <s v="Cash"/>
    <x v="1"/>
    <n v="850"/>
    <n v="650"/>
    <x v="1"/>
  </r>
  <r>
    <n v="5032"/>
    <d v="2024-08-26T00:00:00"/>
    <n v="1010"/>
    <n v="207"/>
    <n v="2"/>
    <n v="1800"/>
    <n v="1120"/>
    <n v="0.1"/>
    <s v="Delivered"/>
    <s v="Card"/>
    <x v="6"/>
    <n v="2240"/>
    <n v="1360"/>
    <x v="0"/>
  </r>
  <r>
    <n v="5033"/>
    <d v="2024-09-04T00:00:00"/>
    <n v="1011"/>
    <n v="210"/>
    <n v="2"/>
    <n v="1400"/>
    <n v="900"/>
    <n v="0"/>
    <s v="Delivered"/>
    <s v="UPI"/>
    <x v="5"/>
    <n v="1800"/>
    <n v="1000"/>
    <x v="0"/>
  </r>
  <r>
    <n v="5034"/>
    <d v="2024-09-13T00:00:00"/>
    <n v="1012"/>
    <n v="203"/>
    <n v="6"/>
    <n v="350"/>
    <n v="180"/>
    <n v="0.05"/>
    <s v="Delivered"/>
    <s v="Cash"/>
    <x v="16"/>
    <n v="1080"/>
    <n v="1020"/>
    <x v="2"/>
  </r>
  <r>
    <n v="5035"/>
    <d v="2024-09-21T00:00:00"/>
    <n v="1001"/>
    <n v="206"/>
    <n v="1"/>
    <n v="3200"/>
    <n v="2200"/>
    <n v="0.1"/>
    <s v="Delivered"/>
    <s v="Card"/>
    <x v="4"/>
    <n v="2200"/>
    <n v="1000"/>
    <x v="2"/>
  </r>
  <r>
    <n v="5036"/>
    <d v="2024-10-02T00:00:00"/>
    <n v="1002"/>
    <n v="202"/>
    <n v="2"/>
    <n v="1200"/>
    <n v="780"/>
    <n v="0"/>
    <s v="Delivered"/>
    <s v="UPI"/>
    <x v="3"/>
    <n v="1560"/>
    <n v="840"/>
    <x v="0"/>
  </r>
  <r>
    <n v="5037"/>
    <d v="2024-10-11T00:00:00"/>
    <n v="1003"/>
    <n v="208"/>
    <n v="2"/>
    <n v="900"/>
    <n v="510"/>
    <n v="0.05"/>
    <s v="Delivered"/>
    <s v="Cash"/>
    <x v="8"/>
    <n v="1020"/>
    <n v="780"/>
    <x v="2"/>
  </r>
  <r>
    <n v="5038"/>
    <d v="2024-10-20T00:00:00"/>
    <n v="1004"/>
    <n v="205"/>
    <n v="1"/>
    <n v="2400"/>
    <n v="1450"/>
    <n v="0"/>
    <s v="Delivered"/>
    <s v="Card"/>
    <x v="3"/>
    <n v="1450"/>
    <n v="950"/>
    <x v="1"/>
  </r>
  <r>
    <n v="5039"/>
    <d v="2024-11-03T00:00:00"/>
    <n v="1005"/>
    <n v="210"/>
    <n v="1"/>
    <n v="1400"/>
    <n v="900"/>
    <n v="0.1"/>
    <s v="Delivered"/>
    <s v="UPI"/>
    <x v="7"/>
    <n v="900"/>
    <n v="500"/>
    <x v="0"/>
  </r>
  <r>
    <n v="5040"/>
    <d v="2024-11-12T00:00:00"/>
    <n v="1006"/>
    <n v="204"/>
    <n v="2"/>
    <n v="1500"/>
    <n v="850"/>
    <n v="0.05"/>
    <s v="Delivered"/>
    <s v="Cash"/>
    <x v="10"/>
    <n v="1700"/>
    <n v="1300"/>
    <x v="1"/>
  </r>
  <r>
    <n v="5041"/>
    <d v="2024-11-22T00:00:00"/>
    <n v="1007"/>
    <n v="201"/>
    <n v="4"/>
    <n v="650"/>
    <n v="420"/>
    <n v="0"/>
    <s v="Delivered"/>
    <s v="Card"/>
    <x v="17"/>
    <n v="1680"/>
    <n v="920"/>
    <x v="0"/>
  </r>
  <r>
    <n v="5042"/>
    <d v="2024-12-01T00:00:00"/>
    <n v="1008"/>
    <n v="207"/>
    <n v="1"/>
    <n v="1800"/>
    <n v="1120"/>
    <n v="0"/>
    <s v="Delivered"/>
    <s v="UPI"/>
    <x v="8"/>
    <n v="1120"/>
    <n v="680"/>
    <x v="0"/>
  </r>
  <r>
    <n v="5043"/>
    <d v="2024-12-09T00:00:00"/>
    <n v="1009"/>
    <n v="203"/>
    <n v="2"/>
    <n v="350"/>
    <n v="180"/>
    <n v="0.1"/>
    <s v="Delivered"/>
    <s v="Cash"/>
    <x v="18"/>
    <n v="360"/>
    <n v="340"/>
    <x v="2"/>
  </r>
  <r>
    <n v="5044"/>
    <d v="2024-12-17T00:00:00"/>
    <n v="1010"/>
    <n v="206"/>
    <n v="1"/>
    <n v="3200"/>
    <n v="2200"/>
    <n v="0.05"/>
    <s v="Delivered"/>
    <s v="Card"/>
    <x v="4"/>
    <n v="2200"/>
    <n v="1000"/>
    <x v="2"/>
  </r>
  <r>
    <n v="5045"/>
    <d v="2024-12-22T00:00:00"/>
    <n v="1011"/>
    <n v="209"/>
    <n v="5"/>
    <n v="700"/>
    <n v="300"/>
    <n v="0"/>
    <s v="Delivered"/>
    <s v="UPI"/>
    <x v="19"/>
    <n v="1500"/>
    <n v="2000"/>
    <x v="1"/>
  </r>
  <r>
    <n v="5046"/>
    <d v="2024-12-28T00:00:00"/>
    <n v="1012"/>
    <n v="202"/>
    <n v="1"/>
    <n v="1200"/>
    <n v="780"/>
    <n v="0.1"/>
    <s v="Delivered"/>
    <s v="Card"/>
    <x v="12"/>
    <n v="780"/>
    <n v="420"/>
    <x v="0"/>
  </r>
  <r>
    <n v="5047"/>
    <d v="2024-12-30T00:00:00"/>
    <n v="1001"/>
    <n v="210"/>
    <n v="2"/>
    <n v="1400"/>
    <n v="900"/>
    <n v="0"/>
    <s v="Delivered"/>
    <s v="UPI"/>
    <x v="5"/>
    <n v="1800"/>
    <n v="1000"/>
    <x v="0"/>
  </r>
  <r>
    <m/>
    <m/>
    <m/>
    <m/>
    <m/>
    <m/>
    <m/>
    <m/>
    <m/>
    <m/>
    <x v="20"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5001"/>
    <d v="2024-01-05T00:00:00"/>
    <n v="1001"/>
    <n v="201"/>
    <n v="2"/>
    <n v="650"/>
    <n v="420"/>
    <n v="0"/>
    <x v="0"/>
    <x v="0"/>
    <n v="1300"/>
    <n v="840"/>
    <n v="460"/>
    <x v="0"/>
    <x v="0"/>
  </r>
  <r>
    <n v="5002"/>
    <d v="2024-01-08T00:00:00"/>
    <n v="1002"/>
    <n v="204"/>
    <n v="1"/>
    <n v="1500"/>
    <n v="850"/>
    <n v="0.1"/>
    <x v="0"/>
    <x v="1"/>
    <n v="1500"/>
    <n v="850"/>
    <n v="650"/>
    <x v="1"/>
    <x v="0"/>
  </r>
  <r>
    <n v="5003"/>
    <d v="2024-01-15T00:00:00"/>
    <n v="1003"/>
    <n v="203"/>
    <n v="3"/>
    <n v="350"/>
    <n v="180"/>
    <n v="0"/>
    <x v="0"/>
    <x v="2"/>
    <n v="1050"/>
    <n v="540"/>
    <n v="510"/>
    <x v="2"/>
    <x v="0"/>
  </r>
  <r>
    <n v="5004"/>
    <d v="2024-01-21T00:00:00"/>
    <n v="1004"/>
    <n v="205"/>
    <n v="1"/>
    <n v="2400"/>
    <n v="1450"/>
    <n v="0.15"/>
    <x v="0"/>
    <x v="0"/>
    <n v="2400"/>
    <n v="1450"/>
    <n v="950"/>
    <x v="1"/>
    <x v="0"/>
  </r>
  <r>
    <n v="5005"/>
    <d v="2024-02-02T00:00:00"/>
    <n v="1005"/>
    <n v="202"/>
    <n v="2"/>
    <n v="1200"/>
    <n v="780"/>
    <n v="0.05"/>
    <x v="0"/>
    <x v="1"/>
    <n v="2400"/>
    <n v="1560"/>
    <n v="840"/>
    <x v="0"/>
    <x v="1"/>
  </r>
  <r>
    <n v="5006"/>
    <d v="2024-02-09T00:00:00"/>
    <n v="1006"/>
    <n v="206"/>
    <n v="1"/>
    <n v="3200"/>
    <n v="2200"/>
    <n v="0.1"/>
    <x v="0"/>
    <x v="0"/>
    <n v="3200"/>
    <n v="2200"/>
    <n v="1000"/>
    <x v="2"/>
    <x v="1"/>
  </r>
  <r>
    <n v="5007"/>
    <d v="2024-02-14T00:00:00"/>
    <n v="1007"/>
    <n v="209"/>
    <n v="4"/>
    <n v="700"/>
    <n v="300"/>
    <n v="0"/>
    <x v="0"/>
    <x v="2"/>
    <n v="2800"/>
    <n v="1200"/>
    <n v="1600"/>
    <x v="1"/>
    <x v="1"/>
  </r>
  <r>
    <n v="5008"/>
    <d v="2024-02-25T00:00:00"/>
    <n v="1008"/>
    <n v="207"/>
    <n v="2"/>
    <n v="1800"/>
    <n v="1120"/>
    <n v="0.05"/>
    <x v="0"/>
    <x v="1"/>
    <n v="3600"/>
    <n v="2240"/>
    <n v="1360"/>
    <x v="0"/>
    <x v="1"/>
  </r>
  <r>
    <n v="5009"/>
    <d v="2024-03-03T00:00:00"/>
    <n v="1009"/>
    <n v="210"/>
    <n v="1"/>
    <n v="1400"/>
    <n v="900"/>
    <n v="0"/>
    <x v="0"/>
    <x v="0"/>
    <n v="1400"/>
    <n v="900"/>
    <n v="500"/>
    <x v="0"/>
    <x v="2"/>
  </r>
  <r>
    <n v="5010"/>
    <d v="2024-03-11T00:00:00"/>
    <n v="1010"/>
    <n v="208"/>
    <n v="2"/>
    <n v="900"/>
    <n v="510"/>
    <n v="0.1"/>
    <x v="0"/>
    <x v="2"/>
    <n v="1800"/>
    <n v="1020"/>
    <n v="780"/>
    <x v="2"/>
    <x v="2"/>
  </r>
  <r>
    <n v="5011"/>
    <d v="2024-03-18T00:00:00"/>
    <n v="1001"/>
    <n v="205"/>
    <n v="1"/>
    <n v="2400"/>
    <n v="1450"/>
    <n v="0.05"/>
    <x v="0"/>
    <x v="1"/>
    <n v="2400"/>
    <n v="1450"/>
    <n v="950"/>
    <x v="1"/>
    <x v="2"/>
  </r>
  <r>
    <n v="5012"/>
    <d v="2024-03-25T00:00:00"/>
    <n v="1002"/>
    <n v="201"/>
    <n v="3"/>
    <n v="650"/>
    <n v="420"/>
    <n v="0"/>
    <x v="0"/>
    <x v="0"/>
    <n v="1950"/>
    <n v="1260"/>
    <n v="690"/>
    <x v="0"/>
    <x v="2"/>
  </r>
  <r>
    <n v="5013"/>
    <d v="2024-04-02T00:00:00"/>
    <n v="1003"/>
    <n v="204"/>
    <n v="2"/>
    <n v="1500"/>
    <n v="850"/>
    <n v="0.1"/>
    <x v="0"/>
    <x v="1"/>
    <n v="3000"/>
    <n v="1700"/>
    <n v="1300"/>
    <x v="1"/>
    <x v="3"/>
  </r>
  <r>
    <n v="5014"/>
    <d v="2024-04-07T00:00:00"/>
    <n v="1004"/>
    <n v="203"/>
    <n v="5"/>
    <n v="350"/>
    <n v="180"/>
    <n v="0.05"/>
    <x v="0"/>
    <x v="2"/>
    <n v="1750"/>
    <n v="900"/>
    <n v="850"/>
    <x v="2"/>
    <x v="3"/>
  </r>
  <r>
    <n v="5015"/>
    <d v="2024-04-15T00:00:00"/>
    <n v="1005"/>
    <n v="207"/>
    <n v="1"/>
    <n v="1800"/>
    <n v="1120"/>
    <n v="0"/>
    <x v="0"/>
    <x v="0"/>
    <n v="1800"/>
    <n v="1120"/>
    <n v="680"/>
    <x v="0"/>
    <x v="3"/>
  </r>
  <r>
    <n v="5016"/>
    <d v="2024-04-23T00:00:00"/>
    <n v="1006"/>
    <n v="209"/>
    <n v="2"/>
    <n v="700"/>
    <n v="300"/>
    <n v="0.15"/>
    <x v="1"/>
    <x v="1"/>
    <n v="1400"/>
    <n v="600"/>
    <n v="800"/>
    <x v="1"/>
    <x v="3"/>
  </r>
  <r>
    <n v="5017"/>
    <d v="2024-05-01T00:00:00"/>
    <n v="1007"/>
    <n v="206"/>
    <n v="1"/>
    <n v="3200"/>
    <n v="2200"/>
    <n v="0.05"/>
    <x v="0"/>
    <x v="0"/>
    <n v="3200"/>
    <n v="2200"/>
    <n v="1000"/>
    <x v="2"/>
    <x v="4"/>
  </r>
  <r>
    <n v="5018"/>
    <d v="2024-05-09T00:00:00"/>
    <n v="1008"/>
    <n v="202"/>
    <n v="1"/>
    <n v="1200"/>
    <n v="780"/>
    <n v="0"/>
    <x v="0"/>
    <x v="1"/>
    <n v="1200"/>
    <n v="780"/>
    <n v="420"/>
    <x v="0"/>
    <x v="4"/>
  </r>
  <r>
    <n v="5019"/>
    <d v="2024-05-17T00:00:00"/>
    <n v="1009"/>
    <n v="208"/>
    <n v="3"/>
    <n v="900"/>
    <n v="510"/>
    <n v="0.1"/>
    <x v="0"/>
    <x v="2"/>
    <n v="2700"/>
    <n v="1530"/>
    <n v="1170"/>
    <x v="2"/>
    <x v="4"/>
  </r>
  <r>
    <n v="5020"/>
    <d v="2024-05-28T00:00:00"/>
    <n v="1010"/>
    <n v="210"/>
    <n v="2"/>
    <n v="1400"/>
    <n v="900"/>
    <n v="0.05"/>
    <x v="0"/>
    <x v="0"/>
    <n v="2800"/>
    <n v="1800"/>
    <n v="1000"/>
    <x v="0"/>
    <x v="4"/>
  </r>
  <r>
    <n v="5021"/>
    <d v="2024-06-04T00:00:00"/>
    <n v="1011"/>
    <n v="205"/>
    <n v="2"/>
    <n v="2400"/>
    <n v="1450"/>
    <n v="0.1"/>
    <x v="0"/>
    <x v="1"/>
    <n v="4800"/>
    <n v="2900"/>
    <n v="1900"/>
    <x v="1"/>
    <x v="5"/>
  </r>
  <r>
    <n v="5022"/>
    <d v="2024-06-12T00:00:00"/>
    <n v="1012"/>
    <n v="204"/>
    <n v="1"/>
    <n v="1500"/>
    <n v="850"/>
    <n v="0"/>
    <x v="0"/>
    <x v="0"/>
    <n v="1500"/>
    <n v="850"/>
    <n v="650"/>
    <x v="1"/>
    <x v="5"/>
  </r>
  <r>
    <n v="5023"/>
    <d v="2024-06-20T00:00:00"/>
    <n v="1001"/>
    <n v="203"/>
    <n v="4"/>
    <n v="350"/>
    <n v="180"/>
    <n v="0.05"/>
    <x v="0"/>
    <x v="2"/>
    <n v="1400"/>
    <n v="720"/>
    <n v="680"/>
    <x v="2"/>
    <x v="5"/>
  </r>
  <r>
    <n v="5024"/>
    <d v="2024-06-27T00:00:00"/>
    <n v="1002"/>
    <n v="207"/>
    <n v="2"/>
    <n v="1800"/>
    <n v="1120"/>
    <n v="0"/>
    <x v="0"/>
    <x v="1"/>
    <n v="3600"/>
    <n v="2240"/>
    <n v="1360"/>
    <x v="0"/>
    <x v="5"/>
  </r>
  <r>
    <n v="5025"/>
    <d v="2024-07-03T00:00:00"/>
    <n v="1003"/>
    <n v="206"/>
    <n v="1"/>
    <n v="3200"/>
    <n v="2200"/>
    <n v="0.15"/>
    <x v="0"/>
    <x v="0"/>
    <n v="3200"/>
    <n v="2200"/>
    <n v="1000"/>
    <x v="2"/>
    <x v="6"/>
  </r>
  <r>
    <n v="5026"/>
    <d v="2024-07-11T00:00:00"/>
    <n v="1004"/>
    <n v="201"/>
    <n v="2"/>
    <n v="650"/>
    <n v="420"/>
    <n v="0"/>
    <x v="0"/>
    <x v="1"/>
    <n v="1300"/>
    <n v="840"/>
    <n v="460"/>
    <x v="0"/>
    <x v="6"/>
  </r>
  <r>
    <n v="5027"/>
    <d v="2024-07-19T00:00:00"/>
    <n v="1005"/>
    <n v="208"/>
    <n v="1"/>
    <n v="900"/>
    <n v="510"/>
    <n v="0.05"/>
    <x v="0"/>
    <x v="2"/>
    <n v="900"/>
    <n v="510"/>
    <n v="390"/>
    <x v="2"/>
    <x v="6"/>
  </r>
  <r>
    <n v="5028"/>
    <d v="2024-07-25T00:00:00"/>
    <n v="1006"/>
    <n v="202"/>
    <n v="3"/>
    <n v="1200"/>
    <n v="780"/>
    <n v="0.1"/>
    <x v="0"/>
    <x v="0"/>
    <n v="3600"/>
    <n v="2340"/>
    <n v="1260"/>
    <x v="0"/>
    <x v="6"/>
  </r>
  <r>
    <n v="5029"/>
    <d v="2024-08-02T00:00:00"/>
    <n v="1007"/>
    <n v="205"/>
    <n v="1"/>
    <n v="2400"/>
    <n v="1450"/>
    <n v="0"/>
    <x v="0"/>
    <x v="1"/>
    <n v="2400"/>
    <n v="1450"/>
    <n v="950"/>
    <x v="1"/>
    <x v="7"/>
  </r>
  <r>
    <n v="5030"/>
    <d v="2024-08-10T00:00:00"/>
    <n v="1008"/>
    <n v="209"/>
    <n v="3"/>
    <n v="700"/>
    <n v="300"/>
    <n v="0.05"/>
    <x v="0"/>
    <x v="0"/>
    <n v="2100"/>
    <n v="900"/>
    <n v="1200"/>
    <x v="1"/>
    <x v="7"/>
  </r>
  <r>
    <n v="5031"/>
    <d v="2024-08-18T00:00:00"/>
    <n v="1009"/>
    <n v="204"/>
    <n v="1"/>
    <n v="1500"/>
    <n v="850"/>
    <n v="0.2"/>
    <x v="0"/>
    <x v="2"/>
    <n v="1500"/>
    <n v="850"/>
    <n v="650"/>
    <x v="1"/>
    <x v="7"/>
  </r>
  <r>
    <n v="5032"/>
    <d v="2024-08-26T00:00:00"/>
    <n v="1010"/>
    <n v="207"/>
    <n v="2"/>
    <n v="1800"/>
    <n v="1120"/>
    <n v="0.1"/>
    <x v="0"/>
    <x v="1"/>
    <n v="3600"/>
    <n v="2240"/>
    <n v="1360"/>
    <x v="0"/>
    <x v="7"/>
  </r>
  <r>
    <n v="5033"/>
    <d v="2024-09-04T00:00:00"/>
    <n v="1011"/>
    <n v="210"/>
    <n v="2"/>
    <n v="1400"/>
    <n v="900"/>
    <n v="0"/>
    <x v="0"/>
    <x v="0"/>
    <n v="2800"/>
    <n v="1800"/>
    <n v="1000"/>
    <x v="0"/>
    <x v="8"/>
  </r>
  <r>
    <n v="5034"/>
    <d v="2024-09-13T00:00:00"/>
    <n v="1012"/>
    <n v="203"/>
    <n v="6"/>
    <n v="350"/>
    <n v="180"/>
    <n v="0.05"/>
    <x v="0"/>
    <x v="2"/>
    <n v="2100"/>
    <n v="1080"/>
    <n v="1020"/>
    <x v="2"/>
    <x v="8"/>
  </r>
  <r>
    <n v="5035"/>
    <d v="2024-09-21T00:00:00"/>
    <n v="1001"/>
    <n v="206"/>
    <n v="1"/>
    <n v="3200"/>
    <n v="2200"/>
    <n v="0.1"/>
    <x v="0"/>
    <x v="1"/>
    <n v="3200"/>
    <n v="2200"/>
    <n v="1000"/>
    <x v="2"/>
    <x v="8"/>
  </r>
  <r>
    <n v="5036"/>
    <d v="2024-10-02T00:00:00"/>
    <n v="1002"/>
    <n v="202"/>
    <n v="2"/>
    <n v="1200"/>
    <n v="780"/>
    <n v="0"/>
    <x v="0"/>
    <x v="0"/>
    <n v="2400"/>
    <n v="1560"/>
    <n v="840"/>
    <x v="0"/>
    <x v="9"/>
  </r>
  <r>
    <n v="5037"/>
    <d v="2024-10-11T00:00:00"/>
    <n v="1003"/>
    <n v="208"/>
    <n v="2"/>
    <n v="900"/>
    <n v="510"/>
    <n v="0.05"/>
    <x v="0"/>
    <x v="2"/>
    <n v="1800"/>
    <n v="1020"/>
    <n v="780"/>
    <x v="2"/>
    <x v="9"/>
  </r>
  <r>
    <n v="5038"/>
    <d v="2024-10-20T00:00:00"/>
    <n v="1004"/>
    <n v="205"/>
    <n v="1"/>
    <n v="2400"/>
    <n v="1450"/>
    <n v="0"/>
    <x v="0"/>
    <x v="1"/>
    <n v="2400"/>
    <n v="1450"/>
    <n v="950"/>
    <x v="1"/>
    <x v="9"/>
  </r>
  <r>
    <n v="5039"/>
    <d v="2024-11-03T00:00:00"/>
    <n v="1005"/>
    <n v="210"/>
    <n v="1"/>
    <n v="1400"/>
    <n v="900"/>
    <n v="0.1"/>
    <x v="0"/>
    <x v="0"/>
    <n v="1400"/>
    <n v="900"/>
    <n v="500"/>
    <x v="0"/>
    <x v="10"/>
  </r>
  <r>
    <n v="5040"/>
    <d v="2024-11-12T00:00:00"/>
    <n v="1006"/>
    <n v="204"/>
    <n v="2"/>
    <n v="1500"/>
    <n v="850"/>
    <n v="0.05"/>
    <x v="0"/>
    <x v="2"/>
    <n v="3000"/>
    <n v="1700"/>
    <n v="1300"/>
    <x v="1"/>
    <x v="10"/>
  </r>
  <r>
    <n v="5041"/>
    <d v="2024-11-22T00:00:00"/>
    <n v="1007"/>
    <n v="201"/>
    <n v="4"/>
    <n v="650"/>
    <n v="420"/>
    <n v="0"/>
    <x v="0"/>
    <x v="1"/>
    <n v="2600"/>
    <n v="1680"/>
    <n v="920"/>
    <x v="0"/>
    <x v="10"/>
  </r>
  <r>
    <n v="5042"/>
    <d v="2024-12-01T00:00:00"/>
    <n v="1008"/>
    <n v="207"/>
    <n v="1"/>
    <n v="1800"/>
    <n v="1120"/>
    <n v="0"/>
    <x v="0"/>
    <x v="0"/>
    <n v="1800"/>
    <n v="1120"/>
    <n v="680"/>
    <x v="0"/>
    <x v="11"/>
  </r>
  <r>
    <n v="5043"/>
    <d v="2024-12-09T00:00:00"/>
    <n v="1009"/>
    <n v="203"/>
    <n v="2"/>
    <n v="350"/>
    <n v="180"/>
    <n v="0.1"/>
    <x v="0"/>
    <x v="2"/>
    <n v="700"/>
    <n v="360"/>
    <n v="340"/>
    <x v="2"/>
    <x v="11"/>
  </r>
  <r>
    <n v="5044"/>
    <d v="2024-12-17T00:00:00"/>
    <n v="1010"/>
    <n v="206"/>
    <n v="1"/>
    <n v="3200"/>
    <n v="2200"/>
    <n v="0.05"/>
    <x v="0"/>
    <x v="1"/>
    <n v="3200"/>
    <n v="2200"/>
    <n v="1000"/>
    <x v="2"/>
    <x v="11"/>
  </r>
  <r>
    <n v="5045"/>
    <d v="2024-12-22T00:00:00"/>
    <n v="1011"/>
    <n v="209"/>
    <n v="5"/>
    <n v="700"/>
    <n v="300"/>
    <n v="0"/>
    <x v="0"/>
    <x v="0"/>
    <n v="3500"/>
    <n v="1500"/>
    <n v="2000"/>
    <x v="1"/>
    <x v="11"/>
  </r>
  <r>
    <n v="5046"/>
    <d v="2024-12-28T00:00:00"/>
    <n v="1012"/>
    <n v="202"/>
    <n v="1"/>
    <n v="1200"/>
    <n v="780"/>
    <n v="0.1"/>
    <x v="0"/>
    <x v="1"/>
    <n v="1200"/>
    <n v="780"/>
    <n v="420"/>
    <x v="0"/>
    <x v="11"/>
  </r>
  <r>
    <n v="5047"/>
    <d v="2024-12-30T00:00:00"/>
    <n v="1001"/>
    <n v="210"/>
    <n v="2"/>
    <n v="1400"/>
    <n v="900"/>
    <n v="0"/>
    <x v="0"/>
    <x v="0"/>
    <n v="2800"/>
    <n v="1800"/>
    <n v="1000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81885-6602-4422-B200-C55C9E540DF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8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2412B-224E-478F-8789-51B45706B45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9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A785E-0CFD-4669-9F7C-20256759178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16FAC-ED55-4ECA-BC7B-035ED76B427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45C97-2278-4ACF-954B-0F0C43B73CE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C7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5">
        <item x="0"/>
        <item x="1"/>
        <item x="2"/>
        <item h="1" x="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/>
    <dataField name="Sum of profit" fld="12" baseField="0" baseItem="0"/>
  </dataFields>
  <chartFormats count="6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9CBF-F074-4ECF-A95F-53B9D2CA5087}">
  <dimension ref="A1:E11"/>
  <sheetViews>
    <sheetView zoomScale="117" zoomScaleNormal="110" workbookViewId="0">
      <selection activeCell="D20" sqref="D20"/>
    </sheetView>
  </sheetViews>
  <sheetFormatPr defaultColWidth="11.28515625" defaultRowHeight="15" x14ac:dyDescent="0.25"/>
  <cols>
    <col min="1" max="1" width="10.42578125" bestFit="1" customWidth="1"/>
    <col min="2" max="2" width="17" bestFit="1" customWidth="1"/>
    <col min="3" max="3" width="15" bestFit="1" customWidth="1"/>
    <col min="4" max="4" width="10.7109375" customWidth="1"/>
    <col min="5" max="5" width="10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201</v>
      </c>
      <c r="B2" s="2" t="s">
        <v>5</v>
      </c>
      <c r="C2" s="2" t="s">
        <v>6</v>
      </c>
      <c r="D2" s="2">
        <v>650</v>
      </c>
      <c r="E2" s="2">
        <v>420</v>
      </c>
    </row>
    <row r="3" spans="1:5" x14ac:dyDescent="0.25">
      <c r="A3" s="2">
        <v>202</v>
      </c>
      <c r="B3" s="2" t="s">
        <v>7</v>
      </c>
      <c r="C3" s="2" t="s">
        <v>6</v>
      </c>
      <c r="D3" s="2">
        <v>1200</v>
      </c>
      <c r="E3" s="2">
        <v>780</v>
      </c>
    </row>
    <row r="4" spans="1:5" x14ac:dyDescent="0.25">
      <c r="A4" s="2">
        <v>203</v>
      </c>
      <c r="B4" s="2" t="s">
        <v>8</v>
      </c>
      <c r="C4" s="2" t="s">
        <v>9</v>
      </c>
      <c r="D4" s="2">
        <v>350</v>
      </c>
      <c r="E4" s="2">
        <v>180</v>
      </c>
    </row>
    <row r="5" spans="1:5" x14ac:dyDescent="0.25">
      <c r="A5" s="2">
        <v>204</v>
      </c>
      <c r="B5" s="2" t="s">
        <v>10</v>
      </c>
      <c r="C5" s="2" t="s">
        <v>11</v>
      </c>
      <c r="D5" s="2">
        <v>1500</v>
      </c>
      <c r="E5" s="2">
        <v>850</v>
      </c>
    </row>
    <row r="6" spans="1:5" x14ac:dyDescent="0.25">
      <c r="A6" s="2">
        <v>205</v>
      </c>
      <c r="B6" s="2" t="s">
        <v>12</v>
      </c>
      <c r="C6" s="2" t="s">
        <v>11</v>
      </c>
      <c r="D6" s="2">
        <v>2400</v>
      </c>
      <c r="E6" s="2">
        <v>1450</v>
      </c>
    </row>
    <row r="7" spans="1:5" x14ac:dyDescent="0.25">
      <c r="A7" s="2">
        <v>206</v>
      </c>
      <c r="B7" s="2" t="s">
        <v>13</v>
      </c>
      <c r="C7" s="2" t="s">
        <v>9</v>
      </c>
      <c r="D7" s="2">
        <v>3200</v>
      </c>
      <c r="E7" s="2">
        <v>2200</v>
      </c>
    </row>
    <row r="8" spans="1:5" x14ac:dyDescent="0.25">
      <c r="A8" s="2">
        <v>207</v>
      </c>
      <c r="B8" s="2" t="s">
        <v>14</v>
      </c>
      <c r="C8" s="2" t="s">
        <v>6</v>
      </c>
      <c r="D8" s="2">
        <v>1800</v>
      </c>
      <c r="E8" s="2">
        <v>1120</v>
      </c>
    </row>
    <row r="9" spans="1:5" x14ac:dyDescent="0.25">
      <c r="A9" s="2">
        <v>208</v>
      </c>
      <c r="B9" s="2" t="s">
        <v>15</v>
      </c>
      <c r="C9" s="2" t="s">
        <v>9</v>
      </c>
      <c r="D9" s="2">
        <v>900</v>
      </c>
      <c r="E9" s="2">
        <v>510</v>
      </c>
    </row>
    <row r="10" spans="1:5" x14ac:dyDescent="0.25">
      <c r="A10" s="2">
        <v>209</v>
      </c>
      <c r="B10" s="2" t="s">
        <v>16</v>
      </c>
      <c r="C10" s="2" t="s">
        <v>11</v>
      </c>
      <c r="D10" s="2">
        <v>700</v>
      </c>
      <c r="E10" s="2">
        <v>300</v>
      </c>
    </row>
    <row r="11" spans="1:5" x14ac:dyDescent="0.25">
      <c r="A11" s="2">
        <v>210</v>
      </c>
      <c r="B11" s="2" t="s">
        <v>17</v>
      </c>
      <c r="C11" s="2" t="s">
        <v>6</v>
      </c>
      <c r="D11" s="2">
        <v>1400</v>
      </c>
      <c r="E11" s="2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5931-6254-4502-8547-9E01AF54EA94}">
  <dimension ref="A1:AA48"/>
  <sheetViews>
    <sheetView zoomScale="84" zoomScaleNormal="45" workbookViewId="0">
      <selection activeCell="B8" sqref="B8"/>
    </sheetView>
  </sheetViews>
  <sheetFormatPr defaultRowHeight="15" x14ac:dyDescent="0.25"/>
  <cols>
    <col min="1" max="1" width="9.28515625" bestFit="1" customWidth="1"/>
    <col min="2" max="2" width="11.5703125" bestFit="1" customWidth="1"/>
    <col min="3" max="3" width="13" bestFit="1" customWidth="1"/>
    <col min="4" max="4" width="11.42578125" bestFit="1" customWidth="1"/>
    <col min="5" max="5" width="9.28515625" bestFit="1" customWidth="1"/>
    <col min="6" max="7" width="10.85546875" customWidth="1"/>
    <col min="8" max="8" width="13.5703125" bestFit="1" customWidth="1"/>
    <col min="9" max="9" width="13.140625" bestFit="1" customWidth="1"/>
    <col min="10" max="10" width="17.85546875" bestFit="1" customWidth="1"/>
    <col min="11" max="11" width="17.85546875" customWidth="1"/>
    <col min="12" max="12" width="11" customWidth="1"/>
    <col min="14" max="14" width="16.85546875" customWidth="1"/>
    <col min="17" max="17" width="15.5703125" bestFit="1" customWidth="1"/>
    <col min="18" max="18" width="14.28515625" customWidth="1"/>
  </cols>
  <sheetData>
    <row r="1" spans="1:27" x14ac:dyDescent="0.25">
      <c r="A1" s="3" t="s">
        <v>18</v>
      </c>
      <c r="B1" s="3" t="s">
        <v>19</v>
      </c>
      <c r="C1" s="3" t="s">
        <v>20</v>
      </c>
      <c r="D1" s="3" t="s">
        <v>0</v>
      </c>
      <c r="E1" s="3" t="s">
        <v>21</v>
      </c>
      <c r="F1" s="3" t="s">
        <v>3</v>
      </c>
      <c r="G1" s="3" t="s">
        <v>4</v>
      </c>
      <c r="H1" s="3" t="s">
        <v>22</v>
      </c>
      <c r="I1" s="3" t="s">
        <v>23</v>
      </c>
      <c r="J1" s="3" t="s">
        <v>24</v>
      </c>
      <c r="K1" s="3" t="s">
        <v>33</v>
      </c>
      <c r="L1" s="3" t="s">
        <v>34</v>
      </c>
      <c r="M1" s="3" t="s">
        <v>41</v>
      </c>
      <c r="N1" s="3" t="s">
        <v>2</v>
      </c>
      <c r="O1" s="3" t="s">
        <v>55</v>
      </c>
      <c r="P1" s="6"/>
    </row>
    <row r="2" spans="1:27" x14ac:dyDescent="0.25">
      <c r="A2" s="2">
        <v>5001</v>
      </c>
      <c r="B2" s="5">
        <v>45296</v>
      </c>
      <c r="C2" s="2">
        <v>1001</v>
      </c>
      <c r="D2" s="2">
        <v>201</v>
      </c>
      <c r="E2" s="2">
        <v>2</v>
      </c>
      <c r="F2" s="2">
        <f>VLOOKUP(D2,products!A:E,4,FALSE)</f>
        <v>650</v>
      </c>
      <c r="G2" s="2">
        <f>VLOOKUP(D2,products!A:E,5,FALSE)</f>
        <v>420</v>
      </c>
      <c r="H2" s="2">
        <v>0</v>
      </c>
      <c r="I2" s="2" t="s">
        <v>25</v>
      </c>
      <c r="J2" s="2" t="s">
        <v>26</v>
      </c>
      <c r="K2" s="2">
        <f>F2*E2</f>
        <v>1300</v>
      </c>
      <c r="L2" s="2">
        <f>G2*E2</f>
        <v>840</v>
      </c>
      <c r="M2" s="2">
        <f>K2-L2</f>
        <v>460</v>
      </c>
      <c r="N2" s="4" t="str">
        <f>VLOOKUP(D2,products!A:E,3,FALSE)</f>
        <v>Electronics</v>
      </c>
      <c r="O2" s="2" t="str">
        <f>TEXT(B2,"mmm")</f>
        <v>Jan</v>
      </c>
      <c r="Q2" t="s">
        <v>27</v>
      </c>
      <c r="R2" s="7">
        <v>46</v>
      </c>
      <c r="U2" t="s">
        <v>35</v>
      </c>
    </row>
    <row r="3" spans="1:27" x14ac:dyDescent="0.25">
      <c r="A3" s="2">
        <v>5002</v>
      </c>
      <c r="B3" s="5">
        <v>45299</v>
      </c>
      <c r="C3" s="2">
        <v>1002</v>
      </c>
      <c r="D3" s="2">
        <v>204</v>
      </c>
      <c r="E3" s="2">
        <v>1</v>
      </c>
      <c r="F3" s="2">
        <f>VLOOKUP(D3,products!A:E,4,FALSE)</f>
        <v>1500</v>
      </c>
      <c r="G3" s="2">
        <f>VLOOKUP(D3,products!A:E,5,FALSE)</f>
        <v>850</v>
      </c>
      <c r="H3" s="2">
        <v>0.1</v>
      </c>
      <c r="I3" s="2" t="s">
        <v>25</v>
      </c>
      <c r="J3" s="2" t="s">
        <v>28</v>
      </c>
      <c r="K3" s="2">
        <f t="shared" ref="K3:K48" si="0">F3*E3</f>
        <v>1500</v>
      </c>
      <c r="L3" s="2">
        <f>G3*E3</f>
        <v>850</v>
      </c>
      <c r="M3" s="2">
        <f t="shared" ref="M3:M48" si="1">K3-L3</f>
        <v>650</v>
      </c>
      <c r="N3" s="4" t="str">
        <f>VLOOKUP(D3,products!A:E,3,FALSE)</f>
        <v>Fashion</v>
      </c>
      <c r="O3" s="2" t="str">
        <f t="shared" ref="O3:O48" si="2">TEXT(B3,"mmm")</f>
        <v>Jan</v>
      </c>
      <c r="Q3" t="s">
        <v>29</v>
      </c>
      <c r="R3" s="7">
        <v>1</v>
      </c>
    </row>
    <row r="4" spans="1:27" x14ac:dyDescent="0.25">
      <c r="A4" s="2">
        <v>5003</v>
      </c>
      <c r="B4" s="5">
        <v>45306</v>
      </c>
      <c r="C4" s="2">
        <v>1003</v>
      </c>
      <c r="D4" s="2">
        <v>203</v>
      </c>
      <c r="E4" s="2">
        <v>3</v>
      </c>
      <c r="F4" s="2">
        <f>VLOOKUP(D4,products!A:E,4,FALSE)</f>
        <v>350</v>
      </c>
      <c r="G4" s="2">
        <f>VLOOKUP(D4,products!A:E,5,FALSE)</f>
        <v>180</v>
      </c>
      <c r="H4" s="2">
        <v>0</v>
      </c>
      <c r="I4" s="2" t="s">
        <v>25</v>
      </c>
      <c r="J4" s="2" t="s">
        <v>30</v>
      </c>
      <c r="K4" s="2">
        <f t="shared" si="0"/>
        <v>1050</v>
      </c>
      <c r="L4" s="2">
        <f t="shared" ref="L4:L48" si="3">G4*E4</f>
        <v>540</v>
      </c>
      <c r="M4" s="2">
        <f t="shared" si="1"/>
        <v>510</v>
      </c>
      <c r="N4" s="4" t="str">
        <f>VLOOKUP(D4,products!A:E,3,FALSE)</f>
        <v>Home &amp; Kitchen</v>
      </c>
      <c r="O4" s="2" t="str">
        <f t="shared" si="2"/>
        <v>Jan</v>
      </c>
      <c r="Q4" t="s">
        <v>31</v>
      </c>
      <c r="R4" s="7">
        <v>96</v>
      </c>
      <c r="U4" t="s">
        <v>36</v>
      </c>
    </row>
    <row r="5" spans="1:27" x14ac:dyDescent="0.25">
      <c r="A5" s="2">
        <v>5004</v>
      </c>
      <c r="B5" s="5">
        <v>45312</v>
      </c>
      <c r="C5" s="2">
        <v>1004</v>
      </c>
      <c r="D5" s="2">
        <v>205</v>
      </c>
      <c r="E5" s="2">
        <v>1</v>
      </c>
      <c r="F5" s="2">
        <f>VLOOKUP(D5,products!A:E,4,FALSE)</f>
        <v>2400</v>
      </c>
      <c r="G5" s="2">
        <f>VLOOKUP(D5,products!A:E,5,FALSE)</f>
        <v>1450</v>
      </c>
      <c r="H5" s="2">
        <v>0.15</v>
      </c>
      <c r="I5" s="2" t="s">
        <v>25</v>
      </c>
      <c r="J5" s="2" t="s">
        <v>26</v>
      </c>
      <c r="K5" s="2">
        <f t="shared" si="0"/>
        <v>2400</v>
      </c>
      <c r="L5" s="2">
        <f t="shared" si="3"/>
        <v>1450</v>
      </c>
      <c r="M5" s="2">
        <f t="shared" si="1"/>
        <v>950</v>
      </c>
      <c r="N5" s="4" t="str">
        <f>VLOOKUP(D5,products!A:E,3,FALSE)</f>
        <v>Fashion</v>
      </c>
      <c r="O5" s="2" t="str">
        <f t="shared" si="2"/>
        <v>Jan</v>
      </c>
      <c r="R5" s="7"/>
      <c r="U5" s="8" t="s">
        <v>37</v>
      </c>
      <c r="V5" s="8"/>
      <c r="W5" s="8"/>
      <c r="X5" s="8"/>
      <c r="Y5" s="8"/>
      <c r="Z5" s="8"/>
      <c r="AA5" s="8"/>
    </row>
    <row r="6" spans="1:27" x14ac:dyDescent="0.25">
      <c r="A6" s="2">
        <v>5005</v>
      </c>
      <c r="B6" s="5">
        <v>45324</v>
      </c>
      <c r="C6" s="2">
        <v>1005</v>
      </c>
      <c r="D6" s="2">
        <v>202</v>
      </c>
      <c r="E6" s="2">
        <v>2</v>
      </c>
      <c r="F6" s="2">
        <f>VLOOKUP(D6,products!A:E,4,FALSE)</f>
        <v>1200</v>
      </c>
      <c r="G6" s="2">
        <f>VLOOKUP(D6,products!A:E,5,FALSE)</f>
        <v>780</v>
      </c>
      <c r="H6" s="2">
        <v>0.05</v>
      </c>
      <c r="I6" s="2" t="s">
        <v>25</v>
      </c>
      <c r="J6" s="2" t="s">
        <v>28</v>
      </c>
      <c r="K6" s="2">
        <f t="shared" si="0"/>
        <v>2400</v>
      </c>
      <c r="L6" s="2">
        <f t="shared" si="3"/>
        <v>1560</v>
      </c>
      <c r="M6" s="2">
        <f t="shared" si="1"/>
        <v>840</v>
      </c>
      <c r="N6" s="4" t="str">
        <f>VLOOKUP(D6,products!A:E,3,FALSE)</f>
        <v>Electronics</v>
      </c>
      <c r="O6" s="2" t="str">
        <f t="shared" si="2"/>
        <v>Feb</v>
      </c>
      <c r="Q6" t="s">
        <v>42</v>
      </c>
      <c r="R6" s="7">
        <f>SUM(K2:K48)</f>
        <v>108450</v>
      </c>
    </row>
    <row r="7" spans="1:27" x14ac:dyDescent="0.25">
      <c r="A7" s="2">
        <v>5006</v>
      </c>
      <c r="B7" s="5">
        <v>45331</v>
      </c>
      <c r="C7" s="2">
        <v>1006</v>
      </c>
      <c r="D7" s="2">
        <v>206</v>
      </c>
      <c r="E7" s="2">
        <v>1</v>
      </c>
      <c r="F7" s="2">
        <f>VLOOKUP(D7,products!A:E,4,FALSE)</f>
        <v>3200</v>
      </c>
      <c r="G7" s="2">
        <f>VLOOKUP(D7,products!A:E,5,FALSE)</f>
        <v>2200</v>
      </c>
      <c r="H7" s="2">
        <v>0.1</v>
      </c>
      <c r="I7" s="2" t="s">
        <v>25</v>
      </c>
      <c r="J7" s="2" t="s">
        <v>26</v>
      </c>
      <c r="K7" s="2">
        <f t="shared" si="0"/>
        <v>3200</v>
      </c>
      <c r="L7" s="2">
        <f t="shared" si="3"/>
        <v>2200</v>
      </c>
      <c r="M7" s="2">
        <f t="shared" si="1"/>
        <v>1000</v>
      </c>
      <c r="N7" s="4" t="str">
        <f>VLOOKUP(D7,products!A:E,3,FALSE)</f>
        <v>Home &amp; Kitchen</v>
      </c>
      <c r="O7" s="2" t="str">
        <f t="shared" si="2"/>
        <v>Feb</v>
      </c>
      <c r="Q7" t="s">
        <v>44</v>
      </c>
      <c r="R7" s="7">
        <f>SUM(L2:L48)</f>
        <v>65330</v>
      </c>
    </row>
    <row r="8" spans="1:27" x14ac:dyDescent="0.25">
      <c r="A8" s="2">
        <v>5007</v>
      </c>
      <c r="B8" s="5">
        <v>45336</v>
      </c>
      <c r="C8" s="2">
        <v>1007</v>
      </c>
      <c r="D8" s="2">
        <v>209</v>
      </c>
      <c r="E8" s="2">
        <v>4</v>
      </c>
      <c r="F8" s="2">
        <f>VLOOKUP(D8,products!A:E,4,FALSE)</f>
        <v>700</v>
      </c>
      <c r="G8" s="2">
        <f>VLOOKUP(D8,products!A:E,5,FALSE)</f>
        <v>300</v>
      </c>
      <c r="H8" s="2">
        <v>0</v>
      </c>
      <c r="I8" s="2" t="s">
        <v>25</v>
      </c>
      <c r="J8" s="2" t="s">
        <v>30</v>
      </c>
      <c r="K8" s="2">
        <f t="shared" si="0"/>
        <v>2800</v>
      </c>
      <c r="L8" s="2">
        <f t="shared" si="3"/>
        <v>1200</v>
      </c>
      <c r="M8" s="2">
        <f t="shared" si="1"/>
        <v>1600</v>
      </c>
      <c r="N8" s="4" t="str">
        <f>VLOOKUP(D8,products!A:E,3,FALSE)</f>
        <v>Fashion</v>
      </c>
      <c r="O8" s="2" t="str">
        <f t="shared" si="2"/>
        <v>Feb</v>
      </c>
      <c r="Q8" t="s">
        <v>43</v>
      </c>
      <c r="R8" s="7">
        <f>SUM(M2:M48)</f>
        <v>43120</v>
      </c>
    </row>
    <row r="9" spans="1:27" x14ac:dyDescent="0.25">
      <c r="A9" s="2">
        <v>5008</v>
      </c>
      <c r="B9" s="5">
        <v>45347</v>
      </c>
      <c r="C9" s="2">
        <v>1008</v>
      </c>
      <c r="D9" s="2">
        <v>207</v>
      </c>
      <c r="E9" s="2">
        <v>2</v>
      </c>
      <c r="F9" s="2">
        <f>VLOOKUP(D9,products!A:E,4,FALSE)</f>
        <v>1800</v>
      </c>
      <c r="G9" s="2">
        <f>VLOOKUP(D9,products!A:E,5,FALSE)</f>
        <v>1120</v>
      </c>
      <c r="H9" s="2">
        <v>0.05</v>
      </c>
      <c r="I9" s="2" t="s">
        <v>25</v>
      </c>
      <c r="J9" s="2" t="s">
        <v>28</v>
      </c>
      <c r="K9" s="2">
        <f t="shared" si="0"/>
        <v>3600</v>
      </c>
      <c r="L9" s="2">
        <f t="shared" si="3"/>
        <v>2240</v>
      </c>
      <c r="M9" s="2">
        <f t="shared" si="1"/>
        <v>1360</v>
      </c>
      <c r="N9" s="4" t="str">
        <f>VLOOKUP(D9,products!A:E,3,FALSE)</f>
        <v>Electronics</v>
      </c>
      <c r="O9" s="2" t="str">
        <f t="shared" si="2"/>
        <v>Feb</v>
      </c>
      <c r="T9" t="s">
        <v>69</v>
      </c>
      <c r="U9" s="8" t="s">
        <v>38</v>
      </c>
      <c r="V9" s="8"/>
      <c r="W9" s="8"/>
    </row>
    <row r="10" spans="1:27" x14ac:dyDescent="0.25">
      <c r="A10" s="2">
        <v>5009</v>
      </c>
      <c r="B10" s="5">
        <v>45354</v>
      </c>
      <c r="C10" s="2">
        <v>1009</v>
      </c>
      <c r="D10" s="2">
        <v>210</v>
      </c>
      <c r="E10" s="2">
        <v>1</v>
      </c>
      <c r="F10" s="2">
        <f>VLOOKUP(D10,products!A:E,4,FALSE)</f>
        <v>1400</v>
      </c>
      <c r="G10" s="2">
        <f>VLOOKUP(D10,products!A:E,5,FALSE)</f>
        <v>900</v>
      </c>
      <c r="H10" s="2">
        <v>0</v>
      </c>
      <c r="I10" s="2" t="s">
        <v>25</v>
      </c>
      <c r="J10" s="2" t="s">
        <v>26</v>
      </c>
      <c r="K10" s="2">
        <f t="shared" si="0"/>
        <v>1400</v>
      </c>
      <c r="L10" s="2">
        <f t="shared" si="3"/>
        <v>900</v>
      </c>
      <c r="M10" s="2">
        <f t="shared" si="1"/>
        <v>500</v>
      </c>
      <c r="N10" s="4" t="str">
        <f>VLOOKUP(D10,products!A:E,3,FALSE)</f>
        <v>Electronics</v>
      </c>
      <c r="O10" s="2" t="str">
        <f t="shared" si="2"/>
        <v>Mar</v>
      </c>
      <c r="U10" t="s">
        <v>40</v>
      </c>
    </row>
    <row r="11" spans="1:27" x14ac:dyDescent="0.25">
      <c r="A11" s="2">
        <v>5010</v>
      </c>
      <c r="B11" s="5">
        <v>45362</v>
      </c>
      <c r="C11" s="2">
        <v>1010</v>
      </c>
      <c r="D11" s="2">
        <v>208</v>
      </c>
      <c r="E11" s="2">
        <v>2</v>
      </c>
      <c r="F11" s="2">
        <f>VLOOKUP(D11,products!A:E,4,FALSE)</f>
        <v>900</v>
      </c>
      <c r="G11" s="2">
        <f>VLOOKUP(D11,products!A:E,5,FALSE)</f>
        <v>510</v>
      </c>
      <c r="H11" s="2">
        <v>0.1</v>
      </c>
      <c r="I11" s="2" t="s">
        <v>25</v>
      </c>
      <c r="J11" s="2" t="s">
        <v>30</v>
      </c>
      <c r="K11" s="2">
        <f t="shared" si="0"/>
        <v>1800</v>
      </c>
      <c r="L11" s="2">
        <f t="shared" si="3"/>
        <v>1020</v>
      </c>
      <c r="M11" s="2">
        <f t="shared" si="1"/>
        <v>780</v>
      </c>
      <c r="N11" s="4" t="str">
        <f>VLOOKUP(D11,products!A:E,3,FALSE)</f>
        <v>Home &amp; Kitchen</v>
      </c>
      <c r="O11" s="2" t="str">
        <f t="shared" si="2"/>
        <v>Mar</v>
      </c>
      <c r="U11" t="s">
        <v>39</v>
      </c>
    </row>
    <row r="12" spans="1:27" x14ac:dyDescent="0.25">
      <c r="A12" s="2">
        <v>5011</v>
      </c>
      <c r="B12" s="5">
        <v>45369</v>
      </c>
      <c r="C12" s="2">
        <v>1001</v>
      </c>
      <c r="D12" s="2">
        <v>205</v>
      </c>
      <c r="E12" s="2">
        <v>1</v>
      </c>
      <c r="F12" s="2">
        <f>VLOOKUP(D12,products!A:E,4,FALSE)</f>
        <v>2400</v>
      </c>
      <c r="G12" s="2">
        <f>VLOOKUP(D12,products!A:E,5,FALSE)</f>
        <v>1450</v>
      </c>
      <c r="H12" s="2">
        <v>0.05</v>
      </c>
      <c r="I12" s="2" t="s">
        <v>25</v>
      </c>
      <c r="J12" s="2" t="s">
        <v>28</v>
      </c>
      <c r="K12" s="2">
        <f t="shared" si="0"/>
        <v>2400</v>
      </c>
      <c r="L12" s="2">
        <f t="shared" si="3"/>
        <v>1450</v>
      </c>
      <c r="M12" s="2">
        <f t="shared" si="1"/>
        <v>950</v>
      </c>
      <c r="N12" s="4" t="str">
        <f>VLOOKUP(D12,products!A:E,3,FALSE)</f>
        <v>Fashion</v>
      </c>
      <c r="O12" s="2" t="str">
        <f t="shared" si="2"/>
        <v>Mar</v>
      </c>
    </row>
    <row r="13" spans="1:27" x14ac:dyDescent="0.25">
      <c r="A13" s="2">
        <v>5012</v>
      </c>
      <c r="B13" s="5">
        <v>45376</v>
      </c>
      <c r="C13" s="2">
        <v>1002</v>
      </c>
      <c r="D13" s="2">
        <v>201</v>
      </c>
      <c r="E13" s="2">
        <v>3</v>
      </c>
      <c r="F13" s="2">
        <f>VLOOKUP(D13,products!A:E,4,FALSE)</f>
        <v>650</v>
      </c>
      <c r="G13" s="2">
        <f>VLOOKUP(D13,products!A:E,5,FALSE)</f>
        <v>420</v>
      </c>
      <c r="H13" s="2">
        <v>0</v>
      </c>
      <c r="I13" s="2" t="s">
        <v>25</v>
      </c>
      <c r="J13" s="2" t="s">
        <v>26</v>
      </c>
      <c r="K13" s="2">
        <f t="shared" si="0"/>
        <v>1950</v>
      </c>
      <c r="L13" s="2">
        <f t="shared" si="3"/>
        <v>1260</v>
      </c>
      <c r="M13" s="2">
        <f t="shared" si="1"/>
        <v>690</v>
      </c>
      <c r="N13" s="4" t="str">
        <f>VLOOKUP(D13,products!A:E,3,FALSE)</f>
        <v>Electronics</v>
      </c>
      <c r="O13" s="2" t="str">
        <f t="shared" si="2"/>
        <v>Mar</v>
      </c>
    </row>
    <row r="14" spans="1:27" x14ac:dyDescent="0.25">
      <c r="A14" s="2">
        <v>5013</v>
      </c>
      <c r="B14" s="5">
        <v>45384</v>
      </c>
      <c r="C14" s="2">
        <v>1003</v>
      </c>
      <c r="D14" s="2">
        <v>204</v>
      </c>
      <c r="E14" s="2">
        <v>2</v>
      </c>
      <c r="F14" s="2">
        <f>VLOOKUP(D14,products!A:E,4,FALSE)</f>
        <v>1500</v>
      </c>
      <c r="G14" s="2">
        <f>VLOOKUP(D14,products!A:E,5,FALSE)</f>
        <v>850</v>
      </c>
      <c r="H14" s="2">
        <v>0.1</v>
      </c>
      <c r="I14" s="2" t="s">
        <v>25</v>
      </c>
      <c r="J14" s="2" t="s">
        <v>28</v>
      </c>
      <c r="K14" s="2">
        <f t="shared" si="0"/>
        <v>3000</v>
      </c>
      <c r="L14" s="2">
        <f t="shared" si="3"/>
        <v>1700</v>
      </c>
      <c r="M14" s="2">
        <f t="shared" si="1"/>
        <v>1300</v>
      </c>
      <c r="N14" s="4" t="str">
        <f>VLOOKUP(D14,products!A:E,3,FALSE)</f>
        <v>Fashion</v>
      </c>
      <c r="O14" s="2" t="str">
        <f t="shared" si="2"/>
        <v>Apr</v>
      </c>
    </row>
    <row r="15" spans="1:27" x14ac:dyDescent="0.25">
      <c r="A15" s="2">
        <v>5014</v>
      </c>
      <c r="B15" s="5">
        <v>45389</v>
      </c>
      <c r="C15" s="2">
        <v>1004</v>
      </c>
      <c r="D15" s="2">
        <v>203</v>
      </c>
      <c r="E15" s="2">
        <v>5</v>
      </c>
      <c r="F15" s="2">
        <f>VLOOKUP(D15,products!A:E,4,FALSE)</f>
        <v>350</v>
      </c>
      <c r="G15" s="2">
        <f>VLOOKUP(D15,products!A:E,5,FALSE)</f>
        <v>180</v>
      </c>
      <c r="H15" s="2">
        <v>0.05</v>
      </c>
      <c r="I15" s="2" t="s">
        <v>25</v>
      </c>
      <c r="J15" s="2" t="s">
        <v>30</v>
      </c>
      <c r="K15" s="2">
        <f t="shared" si="0"/>
        <v>1750</v>
      </c>
      <c r="L15" s="2">
        <f t="shared" si="3"/>
        <v>900</v>
      </c>
      <c r="M15" s="2">
        <f t="shared" si="1"/>
        <v>850</v>
      </c>
      <c r="N15" s="4" t="str">
        <f>VLOOKUP(D15,products!A:E,3,FALSE)</f>
        <v>Home &amp; Kitchen</v>
      </c>
      <c r="O15" s="2" t="str">
        <f t="shared" si="2"/>
        <v>Apr</v>
      </c>
    </row>
    <row r="16" spans="1:27" x14ac:dyDescent="0.25">
      <c r="A16" s="2">
        <v>5015</v>
      </c>
      <c r="B16" s="5">
        <v>45397</v>
      </c>
      <c r="C16" s="2">
        <v>1005</v>
      </c>
      <c r="D16" s="2">
        <v>207</v>
      </c>
      <c r="E16" s="2">
        <v>1</v>
      </c>
      <c r="F16" s="2">
        <f>VLOOKUP(D16,products!A:E,4,FALSE)</f>
        <v>1800</v>
      </c>
      <c r="G16" s="2">
        <f>VLOOKUP(D16,products!A:E,5,FALSE)</f>
        <v>1120</v>
      </c>
      <c r="H16" s="2">
        <v>0</v>
      </c>
      <c r="I16" s="2" t="s">
        <v>25</v>
      </c>
      <c r="J16" s="2" t="s">
        <v>26</v>
      </c>
      <c r="K16" s="2">
        <f t="shared" si="0"/>
        <v>1800</v>
      </c>
      <c r="L16" s="2">
        <f t="shared" si="3"/>
        <v>1120</v>
      </c>
      <c r="M16" s="2">
        <f t="shared" si="1"/>
        <v>680</v>
      </c>
      <c r="N16" s="4" t="str">
        <f>VLOOKUP(D16,products!A:E,3,FALSE)</f>
        <v>Electronics</v>
      </c>
      <c r="O16" s="2" t="str">
        <f t="shared" si="2"/>
        <v>Apr</v>
      </c>
    </row>
    <row r="17" spans="1:15" x14ac:dyDescent="0.25">
      <c r="A17" s="2">
        <v>5016</v>
      </c>
      <c r="B17" s="5">
        <v>45405</v>
      </c>
      <c r="C17" s="2">
        <v>1006</v>
      </c>
      <c r="D17" s="2">
        <v>209</v>
      </c>
      <c r="E17" s="2">
        <v>2</v>
      </c>
      <c r="F17" s="2">
        <f>VLOOKUP(D17,products!A:E,4,FALSE)</f>
        <v>700</v>
      </c>
      <c r="G17" s="2">
        <f>VLOOKUP(D17,products!A:E,5,FALSE)</f>
        <v>300</v>
      </c>
      <c r="H17" s="2">
        <v>0.15</v>
      </c>
      <c r="I17" s="2" t="s">
        <v>32</v>
      </c>
      <c r="J17" s="2" t="s">
        <v>28</v>
      </c>
      <c r="K17" s="2">
        <f t="shared" si="0"/>
        <v>1400</v>
      </c>
      <c r="L17" s="2">
        <f t="shared" si="3"/>
        <v>600</v>
      </c>
      <c r="M17" s="2">
        <f t="shared" si="1"/>
        <v>800</v>
      </c>
      <c r="N17" s="4" t="str">
        <f>VLOOKUP(D17,products!A:E,3,FALSE)</f>
        <v>Fashion</v>
      </c>
      <c r="O17" s="2" t="str">
        <f t="shared" si="2"/>
        <v>Apr</v>
      </c>
    </row>
    <row r="18" spans="1:15" x14ac:dyDescent="0.25">
      <c r="A18" s="2">
        <v>5017</v>
      </c>
      <c r="B18" s="5">
        <v>45413</v>
      </c>
      <c r="C18" s="2">
        <v>1007</v>
      </c>
      <c r="D18" s="2">
        <v>206</v>
      </c>
      <c r="E18" s="2">
        <v>1</v>
      </c>
      <c r="F18" s="2">
        <f>VLOOKUP(D18,products!A:E,4,FALSE)</f>
        <v>3200</v>
      </c>
      <c r="G18" s="2">
        <f>VLOOKUP(D18,products!A:E,5,FALSE)</f>
        <v>2200</v>
      </c>
      <c r="H18" s="2">
        <v>0.05</v>
      </c>
      <c r="I18" s="2" t="s">
        <v>25</v>
      </c>
      <c r="J18" s="2" t="s">
        <v>26</v>
      </c>
      <c r="K18" s="2">
        <f t="shared" si="0"/>
        <v>3200</v>
      </c>
      <c r="L18" s="2">
        <f t="shared" si="3"/>
        <v>2200</v>
      </c>
      <c r="M18" s="2">
        <f t="shared" si="1"/>
        <v>1000</v>
      </c>
      <c r="N18" s="4" t="str">
        <f>VLOOKUP(D18,products!A:E,3,FALSE)</f>
        <v>Home &amp; Kitchen</v>
      </c>
      <c r="O18" s="2" t="str">
        <f t="shared" si="2"/>
        <v>May</v>
      </c>
    </row>
    <row r="19" spans="1:15" x14ac:dyDescent="0.25">
      <c r="A19" s="2">
        <v>5018</v>
      </c>
      <c r="B19" s="5">
        <v>45421</v>
      </c>
      <c r="C19" s="2">
        <v>1008</v>
      </c>
      <c r="D19" s="2">
        <v>202</v>
      </c>
      <c r="E19" s="2">
        <v>1</v>
      </c>
      <c r="F19" s="2">
        <f>VLOOKUP(D19,products!A:E,4,FALSE)</f>
        <v>1200</v>
      </c>
      <c r="G19" s="2">
        <f>VLOOKUP(D19,products!A:E,5,FALSE)</f>
        <v>780</v>
      </c>
      <c r="H19" s="2">
        <v>0</v>
      </c>
      <c r="I19" s="2" t="s">
        <v>25</v>
      </c>
      <c r="J19" s="2" t="s">
        <v>28</v>
      </c>
      <c r="K19" s="2">
        <f t="shared" si="0"/>
        <v>1200</v>
      </c>
      <c r="L19" s="2">
        <f t="shared" si="3"/>
        <v>780</v>
      </c>
      <c r="M19" s="2">
        <f t="shared" si="1"/>
        <v>420</v>
      </c>
      <c r="N19" s="4" t="str">
        <f>VLOOKUP(D19,products!A:E,3,FALSE)</f>
        <v>Electronics</v>
      </c>
      <c r="O19" s="2" t="str">
        <f t="shared" si="2"/>
        <v>May</v>
      </c>
    </row>
    <row r="20" spans="1:15" x14ac:dyDescent="0.25">
      <c r="A20" s="2">
        <v>5019</v>
      </c>
      <c r="B20" s="5">
        <v>45429</v>
      </c>
      <c r="C20" s="2">
        <v>1009</v>
      </c>
      <c r="D20" s="2">
        <v>208</v>
      </c>
      <c r="E20" s="2">
        <v>3</v>
      </c>
      <c r="F20" s="2">
        <f>VLOOKUP(D20,products!A:E,4,FALSE)</f>
        <v>900</v>
      </c>
      <c r="G20" s="2">
        <f>VLOOKUP(D20,products!A:E,5,FALSE)</f>
        <v>510</v>
      </c>
      <c r="H20" s="2">
        <v>0.1</v>
      </c>
      <c r="I20" s="2" t="s">
        <v>25</v>
      </c>
      <c r="J20" s="2" t="s">
        <v>30</v>
      </c>
      <c r="K20" s="2">
        <f t="shared" si="0"/>
        <v>2700</v>
      </c>
      <c r="L20" s="2">
        <f t="shared" si="3"/>
        <v>1530</v>
      </c>
      <c r="M20" s="2">
        <f t="shared" si="1"/>
        <v>1170</v>
      </c>
      <c r="N20" s="4" t="str">
        <f>VLOOKUP(D20,products!A:E,3,FALSE)</f>
        <v>Home &amp; Kitchen</v>
      </c>
      <c r="O20" s="2" t="str">
        <f t="shared" si="2"/>
        <v>May</v>
      </c>
    </row>
    <row r="21" spans="1:15" x14ac:dyDescent="0.25">
      <c r="A21" s="2">
        <v>5020</v>
      </c>
      <c r="B21" s="5">
        <v>45440</v>
      </c>
      <c r="C21" s="2">
        <v>1010</v>
      </c>
      <c r="D21" s="2">
        <v>210</v>
      </c>
      <c r="E21" s="2">
        <v>2</v>
      </c>
      <c r="F21" s="2">
        <f>VLOOKUP(D21,products!A:E,4,FALSE)</f>
        <v>1400</v>
      </c>
      <c r="G21" s="2">
        <f>VLOOKUP(D21,products!A:E,5,FALSE)</f>
        <v>900</v>
      </c>
      <c r="H21" s="2">
        <v>0.05</v>
      </c>
      <c r="I21" s="2" t="s">
        <v>25</v>
      </c>
      <c r="J21" s="2" t="s">
        <v>26</v>
      </c>
      <c r="K21" s="2">
        <f t="shared" si="0"/>
        <v>2800</v>
      </c>
      <c r="L21" s="2">
        <f t="shared" si="3"/>
        <v>1800</v>
      </c>
      <c r="M21" s="2">
        <f t="shared" si="1"/>
        <v>1000</v>
      </c>
      <c r="N21" s="4" t="str">
        <f>VLOOKUP(D21,products!A:E,3,FALSE)</f>
        <v>Electronics</v>
      </c>
      <c r="O21" s="2" t="str">
        <f t="shared" si="2"/>
        <v>May</v>
      </c>
    </row>
    <row r="22" spans="1:15" x14ac:dyDescent="0.25">
      <c r="A22" s="2">
        <v>5021</v>
      </c>
      <c r="B22" s="5">
        <v>45447</v>
      </c>
      <c r="C22" s="2">
        <v>1011</v>
      </c>
      <c r="D22" s="2">
        <v>205</v>
      </c>
      <c r="E22" s="2">
        <v>2</v>
      </c>
      <c r="F22" s="2">
        <f>VLOOKUP(D22,products!A:E,4,FALSE)</f>
        <v>2400</v>
      </c>
      <c r="G22" s="2">
        <f>VLOOKUP(D22,products!A:E,5,FALSE)</f>
        <v>1450</v>
      </c>
      <c r="H22" s="2">
        <v>0.1</v>
      </c>
      <c r="I22" s="2" t="s">
        <v>25</v>
      </c>
      <c r="J22" s="2" t="s">
        <v>28</v>
      </c>
      <c r="K22" s="2">
        <f t="shared" si="0"/>
        <v>4800</v>
      </c>
      <c r="L22" s="2">
        <f t="shared" si="3"/>
        <v>2900</v>
      </c>
      <c r="M22" s="2">
        <f t="shared" si="1"/>
        <v>1900</v>
      </c>
      <c r="N22" s="4" t="str">
        <f>VLOOKUP(D22,products!A:E,3,FALSE)</f>
        <v>Fashion</v>
      </c>
      <c r="O22" s="2" t="str">
        <f t="shared" si="2"/>
        <v>Jun</v>
      </c>
    </row>
    <row r="23" spans="1:15" x14ac:dyDescent="0.25">
      <c r="A23" s="2">
        <v>5022</v>
      </c>
      <c r="B23" s="5">
        <v>45455</v>
      </c>
      <c r="C23" s="2">
        <v>1012</v>
      </c>
      <c r="D23" s="2">
        <v>204</v>
      </c>
      <c r="E23" s="2">
        <v>1</v>
      </c>
      <c r="F23" s="2">
        <f>VLOOKUP(D23,products!A:E,4,FALSE)</f>
        <v>1500</v>
      </c>
      <c r="G23" s="2">
        <f>VLOOKUP(D23,products!A:E,5,FALSE)</f>
        <v>850</v>
      </c>
      <c r="H23" s="2">
        <v>0</v>
      </c>
      <c r="I23" s="2" t="s">
        <v>25</v>
      </c>
      <c r="J23" s="2" t="s">
        <v>26</v>
      </c>
      <c r="K23" s="2">
        <f t="shared" si="0"/>
        <v>1500</v>
      </c>
      <c r="L23" s="2">
        <f t="shared" si="3"/>
        <v>850</v>
      </c>
      <c r="M23" s="2">
        <f t="shared" si="1"/>
        <v>650</v>
      </c>
      <c r="N23" s="4" t="str">
        <f>VLOOKUP(D23,products!A:E,3,FALSE)</f>
        <v>Fashion</v>
      </c>
      <c r="O23" s="2" t="str">
        <f t="shared" si="2"/>
        <v>Jun</v>
      </c>
    </row>
    <row r="24" spans="1:15" x14ac:dyDescent="0.25">
      <c r="A24" s="2">
        <v>5023</v>
      </c>
      <c r="B24" s="5">
        <v>45463</v>
      </c>
      <c r="C24" s="2">
        <v>1001</v>
      </c>
      <c r="D24" s="2">
        <v>203</v>
      </c>
      <c r="E24" s="2">
        <v>4</v>
      </c>
      <c r="F24" s="2">
        <f>VLOOKUP(D24,products!A:E,4,FALSE)</f>
        <v>350</v>
      </c>
      <c r="G24" s="2">
        <f>VLOOKUP(D24,products!A:E,5,FALSE)</f>
        <v>180</v>
      </c>
      <c r="H24" s="2">
        <v>0.05</v>
      </c>
      <c r="I24" s="2" t="s">
        <v>25</v>
      </c>
      <c r="J24" s="2" t="s">
        <v>30</v>
      </c>
      <c r="K24" s="2">
        <f t="shared" si="0"/>
        <v>1400</v>
      </c>
      <c r="L24" s="2">
        <f t="shared" si="3"/>
        <v>720</v>
      </c>
      <c r="M24" s="2">
        <f t="shared" si="1"/>
        <v>680</v>
      </c>
      <c r="N24" s="4" t="str">
        <f>VLOOKUP(D24,products!A:E,3,FALSE)</f>
        <v>Home &amp; Kitchen</v>
      </c>
      <c r="O24" s="2" t="str">
        <f t="shared" si="2"/>
        <v>Jun</v>
      </c>
    </row>
    <row r="25" spans="1:15" x14ac:dyDescent="0.25">
      <c r="A25" s="2">
        <v>5024</v>
      </c>
      <c r="B25" s="5">
        <v>45470</v>
      </c>
      <c r="C25" s="2">
        <v>1002</v>
      </c>
      <c r="D25" s="2">
        <v>207</v>
      </c>
      <c r="E25" s="2">
        <v>2</v>
      </c>
      <c r="F25" s="2">
        <f>VLOOKUP(D25,products!A:E,4,FALSE)</f>
        <v>1800</v>
      </c>
      <c r="G25" s="2">
        <f>VLOOKUP(D25,products!A:E,5,FALSE)</f>
        <v>1120</v>
      </c>
      <c r="H25" s="2">
        <v>0</v>
      </c>
      <c r="I25" s="2" t="s">
        <v>25</v>
      </c>
      <c r="J25" s="2" t="s">
        <v>28</v>
      </c>
      <c r="K25" s="2">
        <f t="shared" si="0"/>
        <v>3600</v>
      </c>
      <c r="L25" s="2">
        <f t="shared" si="3"/>
        <v>2240</v>
      </c>
      <c r="M25" s="2">
        <f t="shared" si="1"/>
        <v>1360</v>
      </c>
      <c r="N25" s="4" t="str">
        <f>VLOOKUP(D25,products!A:E,3,FALSE)</f>
        <v>Electronics</v>
      </c>
      <c r="O25" s="2" t="str">
        <f t="shared" si="2"/>
        <v>Jun</v>
      </c>
    </row>
    <row r="26" spans="1:15" x14ac:dyDescent="0.25">
      <c r="A26" s="2">
        <v>5025</v>
      </c>
      <c r="B26" s="5">
        <v>45476</v>
      </c>
      <c r="C26" s="2">
        <v>1003</v>
      </c>
      <c r="D26" s="2">
        <v>206</v>
      </c>
      <c r="E26" s="2">
        <v>1</v>
      </c>
      <c r="F26" s="2">
        <f>VLOOKUP(D26,products!A:E,4,FALSE)</f>
        <v>3200</v>
      </c>
      <c r="G26" s="2">
        <f>VLOOKUP(D26,products!A:E,5,FALSE)</f>
        <v>2200</v>
      </c>
      <c r="H26" s="2">
        <v>0.15</v>
      </c>
      <c r="I26" s="2" t="s">
        <v>25</v>
      </c>
      <c r="J26" s="2" t="s">
        <v>26</v>
      </c>
      <c r="K26" s="2">
        <f t="shared" si="0"/>
        <v>3200</v>
      </c>
      <c r="L26" s="2">
        <f t="shared" si="3"/>
        <v>2200</v>
      </c>
      <c r="M26" s="2">
        <f t="shared" si="1"/>
        <v>1000</v>
      </c>
      <c r="N26" s="4" t="str">
        <f>VLOOKUP(D26,products!A:E,3,FALSE)</f>
        <v>Home &amp; Kitchen</v>
      </c>
      <c r="O26" s="2" t="str">
        <f t="shared" si="2"/>
        <v>Jul</v>
      </c>
    </row>
    <row r="27" spans="1:15" x14ac:dyDescent="0.25">
      <c r="A27" s="2">
        <v>5026</v>
      </c>
      <c r="B27" s="5">
        <v>45484</v>
      </c>
      <c r="C27" s="2">
        <v>1004</v>
      </c>
      <c r="D27" s="2">
        <v>201</v>
      </c>
      <c r="E27" s="2">
        <v>2</v>
      </c>
      <c r="F27" s="2">
        <f>VLOOKUP(D27,products!A:E,4,FALSE)</f>
        <v>650</v>
      </c>
      <c r="G27" s="2">
        <f>VLOOKUP(D27,products!A:E,5,FALSE)</f>
        <v>420</v>
      </c>
      <c r="H27" s="2">
        <v>0</v>
      </c>
      <c r="I27" s="2" t="s">
        <v>25</v>
      </c>
      <c r="J27" s="2" t="s">
        <v>28</v>
      </c>
      <c r="K27" s="2">
        <f t="shared" si="0"/>
        <v>1300</v>
      </c>
      <c r="L27" s="2">
        <f t="shared" si="3"/>
        <v>840</v>
      </c>
      <c r="M27" s="2">
        <f t="shared" si="1"/>
        <v>460</v>
      </c>
      <c r="N27" s="4" t="str">
        <f>VLOOKUP(D27,products!A:E,3,FALSE)</f>
        <v>Electronics</v>
      </c>
      <c r="O27" s="2" t="str">
        <f t="shared" si="2"/>
        <v>Jul</v>
      </c>
    </row>
    <row r="28" spans="1:15" x14ac:dyDescent="0.25">
      <c r="A28" s="2">
        <v>5027</v>
      </c>
      <c r="B28" s="5">
        <v>45492</v>
      </c>
      <c r="C28" s="2">
        <v>1005</v>
      </c>
      <c r="D28" s="2">
        <v>208</v>
      </c>
      <c r="E28" s="2">
        <v>1</v>
      </c>
      <c r="F28" s="2">
        <f>VLOOKUP(D28,products!A:E,4,FALSE)</f>
        <v>900</v>
      </c>
      <c r="G28" s="2">
        <f>VLOOKUP(D28,products!A:E,5,FALSE)</f>
        <v>510</v>
      </c>
      <c r="H28" s="2">
        <v>0.05</v>
      </c>
      <c r="I28" s="2" t="s">
        <v>25</v>
      </c>
      <c r="J28" s="2" t="s">
        <v>30</v>
      </c>
      <c r="K28" s="2">
        <f t="shared" si="0"/>
        <v>900</v>
      </c>
      <c r="L28" s="2">
        <f t="shared" si="3"/>
        <v>510</v>
      </c>
      <c r="M28" s="2">
        <f t="shared" si="1"/>
        <v>390</v>
      </c>
      <c r="N28" s="4" t="str">
        <f>VLOOKUP(D28,products!A:E,3,FALSE)</f>
        <v>Home &amp; Kitchen</v>
      </c>
      <c r="O28" s="2" t="str">
        <f t="shared" si="2"/>
        <v>Jul</v>
      </c>
    </row>
    <row r="29" spans="1:15" x14ac:dyDescent="0.25">
      <c r="A29" s="2">
        <v>5028</v>
      </c>
      <c r="B29" s="5">
        <v>45498</v>
      </c>
      <c r="C29" s="2">
        <v>1006</v>
      </c>
      <c r="D29" s="2">
        <v>202</v>
      </c>
      <c r="E29" s="2">
        <v>3</v>
      </c>
      <c r="F29" s="2">
        <f>VLOOKUP(D29,products!A:E,4,FALSE)</f>
        <v>1200</v>
      </c>
      <c r="G29" s="2">
        <f>VLOOKUP(D29,products!A:E,5,FALSE)</f>
        <v>780</v>
      </c>
      <c r="H29" s="2">
        <v>0.1</v>
      </c>
      <c r="I29" s="2" t="s">
        <v>25</v>
      </c>
      <c r="J29" s="2" t="s">
        <v>26</v>
      </c>
      <c r="K29" s="2">
        <f t="shared" si="0"/>
        <v>3600</v>
      </c>
      <c r="L29" s="2">
        <f t="shared" si="3"/>
        <v>2340</v>
      </c>
      <c r="M29" s="2">
        <f t="shared" si="1"/>
        <v>1260</v>
      </c>
      <c r="N29" s="4" t="str">
        <f>VLOOKUP(D29,products!A:E,3,FALSE)</f>
        <v>Electronics</v>
      </c>
      <c r="O29" s="2" t="str">
        <f t="shared" si="2"/>
        <v>Jul</v>
      </c>
    </row>
    <row r="30" spans="1:15" x14ac:dyDescent="0.25">
      <c r="A30" s="2">
        <v>5029</v>
      </c>
      <c r="B30" s="5">
        <v>45506</v>
      </c>
      <c r="C30" s="2">
        <v>1007</v>
      </c>
      <c r="D30" s="2">
        <v>205</v>
      </c>
      <c r="E30" s="2">
        <v>1</v>
      </c>
      <c r="F30" s="2">
        <f>VLOOKUP(D30,products!A:E,4,FALSE)</f>
        <v>2400</v>
      </c>
      <c r="G30" s="2">
        <f>VLOOKUP(D30,products!A:E,5,FALSE)</f>
        <v>1450</v>
      </c>
      <c r="H30" s="2">
        <v>0</v>
      </c>
      <c r="I30" s="2" t="s">
        <v>25</v>
      </c>
      <c r="J30" s="2" t="s">
        <v>28</v>
      </c>
      <c r="K30" s="2">
        <f t="shared" si="0"/>
        <v>2400</v>
      </c>
      <c r="L30" s="2">
        <f t="shared" si="3"/>
        <v>1450</v>
      </c>
      <c r="M30" s="2">
        <f t="shared" si="1"/>
        <v>950</v>
      </c>
      <c r="N30" s="4" t="str">
        <f>VLOOKUP(D30,products!A:E,3,FALSE)</f>
        <v>Fashion</v>
      </c>
      <c r="O30" s="2" t="str">
        <f t="shared" si="2"/>
        <v>Aug</v>
      </c>
    </row>
    <row r="31" spans="1:15" x14ac:dyDescent="0.25">
      <c r="A31" s="2">
        <v>5030</v>
      </c>
      <c r="B31" s="5">
        <v>45514</v>
      </c>
      <c r="C31" s="2">
        <v>1008</v>
      </c>
      <c r="D31" s="2">
        <v>209</v>
      </c>
      <c r="E31" s="2">
        <v>3</v>
      </c>
      <c r="F31" s="2">
        <f>VLOOKUP(D31,products!A:E,4,FALSE)</f>
        <v>700</v>
      </c>
      <c r="G31" s="2">
        <f>VLOOKUP(D31,products!A:E,5,FALSE)</f>
        <v>300</v>
      </c>
      <c r="H31" s="2">
        <v>0.05</v>
      </c>
      <c r="I31" s="2" t="s">
        <v>25</v>
      </c>
      <c r="J31" s="2" t="s">
        <v>26</v>
      </c>
      <c r="K31" s="2">
        <f t="shared" si="0"/>
        <v>2100</v>
      </c>
      <c r="L31" s="2">
        <f t="shared" si="3"/>
        <v>900</v>
      </c>
      <c r="M31" s="2">
        <f t="shared" si="1"/>
        <v>1200</v>
      </c>
      <c r="N31" s="4" t="str">
        <f>VLOOKUP(D31,products!A:E,3,FALSE)</f>
        <v>Fashion</v>
      </c>
      <c r="O31" s="2" t="str">
        <f t="shared" si="2"/>
        <v>Aug</v>
      </c>
    </row>
    <row r="32" spans="1:15" x14ac:dyDescent="0.25">
      <c r="A32" s="2">
        <v>5031</v>
      </c>
      <c r="B32" s="5">
        <v>45522</v>
      </c>
      <c r="C32" s="2">
        <v>1009</v>
      </c>
      <c r="D32" s="2">
        <v>204</v>
      </c>
      <c r="E32" s="2">
        <v>1</v>
      </c>
      <c r="F32" s="2">
        <f>VLOOKUP(D32,products!A:E,4,FALSE)</f>
        <v>1500</v>
      </c>
      <c r="G32" s="2">
        <f>VLOOKUP(D32,products!A:E,5,FALSE)</f>
        <v>850</v>
      </c>
      <c r="H32" s="2">
        <v>0.2</v>
      </c>
      <c r="I32" s="2" t="s">
        <v>25</v>
      </c>
      <c r="J32" s="2" t="s">
        <v>30</v>
      </c>
      <c r="K32" s="2">
        <f t="shared" si="0"/>
        <v>1500</v>
      </c>
      <c r="L32" s="2">
        <f t="shared" si="3"/>
        <v>850</v>
      </c>
      <c r="M32" s="2">
        <f t="shared" si="1"/>
        <v>650</v>
      </c>
      <c r="N32" s="4" t="str">
        <f>VLOOKUP(D32,products!A:E,3,FALSE)</f>
        <v>Fashion</v>
      </c>
      <c r="O32" s="2" t="str">
        <f t="shared" si="2"/>
        <v>Aug</v>
      </c>
    </row>
    <row r="33" spans="1:15" x14ac:dyDescent="0.25">
      <c r="A33" s="2">
        <v>5032</v>
      </c>
      <c r="B33" s="5">
        <v>45530</v>
      </c>
      <c r="C33" s="2">
        <v>1010</v>
      </c>
      <c r="D33" s="2">
        <v>207</v>
      </c>
      <c r="E33" s="2">
        <v>2</v>
      </c>
      <c r="F33" s="2">
        <f>VLOOKUP(D33,products!A:E,4,FALSE)</f>
        <v>1800</v>
      </c>
      <c r="G33" s="2">
        <f>VLOOKUP(D33,products!A:E,5,FALSE)</f>
        <v>1120</v>
      </c>
      <c r="H33" s="2">
        <v>0.1</v>
      </c>
      <c r="I33" s="2" t="s">
        <v>25</v>
      </c>
      <c r="J33" s="2" t="s">
        <v>28</v>
      </c>
      <c r="K33" s="2">
        <f t="shared" si="0"/>
        <v>3600</v>
      </c>
      <c r="L33" s="2">
        <f t="shared" si="3"/>
        <v>2240</v>
      </c>
      <c r="M33" s="2">
        <f t="shared" si="1"/>
        <v>1360</v>
      </c>
      <c r="N33" s="4" t="str">
        <f>VLOOKUP(D33,products!A:E,3,FALSE)</f>
        <v>Electronics</v>
      </c>
      <c r="O33" s="2" t="str">
        <f t="shared" si="2"/>
        <v>Aug</v>
      </c>
    </row>
    <row r="34" spans="1:15" x14ac:dyDescent="0.25">
      <c r="A34" s="2">
        <v>5033</v>
      </c>
      <c r="B34" s="5">
        <v>45539</v>
      </c>
      <c r="C34" s="2">
        <v>1011</v>
      </c>
      <c r="D34" s="2">
        <v>210</v>
      </c>
      <c r="E34" s="2">
        <v>2</v>
      </c>
      <c r="F34" s="2">
        <f>VLOOKUP(D34,products!A:E,4,FALSE)</f>
        <v>1400</v>
      </c>
      <c r="G34" s="2">
        <f>VLOOKUP(D34,products!A:E,5,FALSE)</f>
        <v>900</v>
      </c>
      <c r="H34" s="2">
        <v>0</v>
      </c>
      <c r="I34" s="2" t="s">
        <v>25</v>
      </c>
      <c r="J34" s="2" t="s">
        <v>26</v>
      </c>
      <c r="K34" s="2">
        <f t="shared" si="0"/>
        <v>2800</v>
      </c>
      <c r="L34" s="2">
        <f t="shared" si="3"/>
        <v>1800</v>
      </c>
      <c r="M34" s="2">
        <f t="shared" si="1"/>
        <v>1000</v>
      </c>
      <c r="N34" s="4" t="str">
        <f>VLOOKUP(D34,products!A:E,3,FALSE)</f>
        <v>Electronics</v>
      </c>
      <c r="O34" s="2" t="str">
        <f t="shared" si="2"/>
        <v>Sep</v>
      </c>
    </row>
    <row r="35" spans="1:15" x14ac:dyDescent="0.25">
      <c r="A35" s="2">
        <v>5034</v>
      </c>
      <c r="B35" s="5">
        <v>45548</v>
      </c>
      <c r="C35" s="2">
        <v>1012</v>
      </c>
      <c r="D35" s="2">
        <v>203</v>
      </c>
      <c r="E35" s="2">
        <v>6</v>
      </c>
      <c r="F35" s="2">
        <f>VLOOKUP(D35,products!A:E,4,FALSE)</f>
        <v>350</v>
      </c>
      <c r="G35" s="2">
        <f>VLOOKUP(D35,products!A:E,5,FALSE)</f>
        <v>180</v>
      </c>
      <c r="H35" s="2">
        <v>0.05</v>
      </c>
      <c r="I35" s="2" t="s">
        <v>25</v>
      </c>
      <c r="J35" s="2" t="s">
        <v>30</v>
      </c>
      <c r="K35" s="2">
        <f t="shared" si="0"/>
        <v>2100</v>
      </c>
      <c r="L35" s="2">
        <f t="shared" si="3"/>
        <v>1080</v>
      </c>
      <c r="M35" s="2">
        <f t="shared" si="1"/>
        <v>1020</v>
      </c>
      <c r="N35" s="4" t="str">
        <f>VLOOKUP(D35,products!A:E,3,FALSE)</f>
        <v>Home &amp; Kitchen</v>
      </c>
      <c r="O35" s="2" t="str">
        <f t="shared" si="2"/>
        <v>Sep</v>
      </c>
    </row>
    <row r="36" spans="1:15" x14ac:dyDescent="0.25">
      <c r="A36" s="2">
        <v>5035</v>
      </c>
      <c r="B36" s="5">
        <v>45556</v>
      </c>
      <c r="C36" s="2">
        <v>1001</v>
      </c>
      <c r="D36" s="2">
        <v>206</v>
      </c>
      <c r="E36" s="2">
        <v>1</v>
      </c>
      <c r="F36" s="2">
        <f>VLOOKUP(D36,products!A:E,4,FALSE)</f>
        <v>3200</v>
      </c>
      <c r="G36" s="2">
        <f>VLOOKUP(D36,products!A:E,5,FALSE)</f>
        <v>2200</v>
      </c>
      <c r="H36" s="2">
        <v>0.1</v>
      </c>
      <c r="I36" s="2" t="s">
        <v>25</v>
      </c>
      <c r="J36" s="2" t="s">
        <v>28</v>
      </c>
      <c r="K36" s="2">
        <f t="shared" si="0"/>
        <v>3200</v>
      </c>
      <c r="L36" s="2">
        <f t="shared" si="3"/>
        <v>2200</v>
      </c>
      <c r="M36" s="2">
        <f t="shared" si="1"/>
        <v>1000</v>
      </c>
      <c r="N36" s="4" t="str">
        <f>VLOOKUP(D36,products!A:E,3,FALSE)</f>
        <v>Home &amp; Kitchen</v>
      </c>
      <c r="O36" s="2" t="str">
        <f t="shared" si="2"/>
        <v>Sep</v>
      </c>
    </row>
    <row r="37" spans="1:15" x14ac:dyDescent="0.25">
      <c r="A37" s="2">
        <v>5036</v>
      </c>
      <c r="B37" s="5">
        <v>45567</v>
      </c>
      <c r="C37" s="2">
        <v>1002</v>
      </c>
      <c r="D37" s="2">
        <v>202</v>
      </c>
      <c r="E37" s="2">
        <v>2</v>
      </c>
      <c r="F37" s="2">
        <f>VLOOKUP(D37,products!A:E,4,FALSE)</f>
        <v>1200</v>
      </c>
      <c r="G37" s="2">
        <f>VLOOKUP(D37,products!A:E,5,FALSE)</f>
        <v>780</v>
      </c>
      <c r="H37" s="2">
        <v>0</v>
      </c>
      <c r="I37" s="2" t="s">
        <v>25</v>
      </c>
      <c r="J37" s="2" t="s">
        <v>26</v>
      </c>
      <c r="K37" s="2">
        <f t="shared" si="0"/>
        <v>2400</v>
      </c>
      <c r="L37" s="2">
        <f t="shared" si="3"/>
        <v>1560</v>
      </c>
      <c r="M37" s="2">
        <f t="shared" si="1"/>
        <v>840</v>
      </c>
      <c r="N37" s="4" t="str">
        <f>VLOOKUP(D37,products!A:E,3,FALSE)</f>
        <v>Electronics</v>
      </c>
      <c r="O37" s="2" t="str">
        <f t="shared" si="2"/>
        <v>Oct</v>
      </c>
    </row>
    <row r="38" spans="1:15" x14ac:dyDescent="0.25">
      <c r="A38" s="2">
        <v>5037</v>
      </c>
      <c r="B38" s="5">
        <v>45576</v>
      </c>
      <c r="C38" s="2">
        <v>1003</v>
      </c>
      <c r="D38" s="2">
        <v>208</v>
      </c>
      <c r="E38" s="2">
        <v>2</v>
      </c>
      <c r="F38" s="2">
        <f>VLOOKUP(D38,products!A:E,4,FALSE)</f>
        <v>900</v>
      </c>
      <c r="G38" s="2">
        <f>VLOOKUP(D38,products!A:E,5,FALSE)</f>
        <v>510</v>
      </c>
      <c r="H38" s="2">
        <v>0.05</v>
      </c>
      <c r="I38" s="2" t="s">
        <v>25</v>
      </c>
      <c r="J38" s="2" t="s">
        <v>30</v>
      </c>
      <c r="K38" s="2">
        <f t="shared" si="0"/>
        <v>1800</v>
      </c>
      <c r="L38" s="2">
        <f t="shared" si="3"/>
        <v>1020</v>
      </c>
      <c r="M38" s="2">
        <f t="shared" si="1"/>
        <v>780</v>
      </c>
      <c r="N38" s="4" t="str">
        <f>VLOOKUP(D38,products!A:E,3,FALSE)</f>
        <v>Home &amp; Kitchen</v>
      </c>
      <c r="O38" s="2" t="str">
        <f t="shared" si="2"/>
        <v>Oct</v>
      </c>
    </row>
    <row r="39" spans="1:15" x14ac:dyDescent="0.25">
      <c r="A39" s="2">
        <v>5038</v>
      </c>
      <c r="B39" s="5">
        <v>45585</v>
      </c>
      <c r="C39" s="2">
        <v>1004</v>
      </c>
      <c r="D39" s="2">
        <v>205</v>
      </c>
      <c r="E39" s="2">
        <v>1</v>
      </c>
      <c r="F39" s="2">
        <f>VLOOKUP(D39,products!A:E,4,FALSE)</f>
        <v>2400</v>
      </c>
      <c r="G39" s="2">
        <f>VLOOKUP(D39,products!A:E,5,FALSE)</f>
        <v>1450</v>
      </c>
      <c r="H39" s="2">
        <v>0</v>
      </c>
      <c r="I39" s="2" t="s">
        <v>25</v>
      </c>
      <c r="J39" s="2" t="s">
        <v>28</v>
      </c>
      <c r="K39" s="2">
        <f t="shared" si="0"/>
        <v>2400</v>
      </c>
      <c r="L39" s="2">
        <f t="shared" si="3"/>
        <v>1450</v>
      </c>
      <c r="M39" s="2">
        <f t="shared" si="1"/>
        <v>950</v>
      </c>
      <c r="N39" s="4" t="str">
        <f>VLOOKUP(D39,products!A:E,3,FALSE)</f>
        <v>Fashion</v>
      </c>
      <c r="O39" s="2" t="str">
        <f t="shared" si="2"/>
        <v>Oct</v>
      </c>
    </row>
    <row r="40" spans="1:15" x14ac:dyDescent="0.25">
      <c r="A40" s="2">
        <v>5039</v>
      </c>
      <c r="B40" s="5">
        <v>45599</v>
      </c>
      <c r="C40" s="2">
        <v>1005</v>
      </c>
      <c r="D40" s="2">
        <v>210</v>
      </c>
      <c r="E40" s="2">
        <v>1</v>
      </c>
      <c r="F40" s="2">
        <f>VLOOKUP(D40,products!A:E,4,FALSE)</f>
        <v>1400</v>
      </c>
      <c r="G40" s="2">
        <f>VLOOKUP(D40,products!A:E,5,FALSE)</f>
        <v>900</v>
      </c>
      <c r="H40" s="2">
        <v>0.1</v>
      </c>
      <c r="I40" s="2" t="s">
        <v>25</v>
      </c>
      <c r="J40" s="2" t="s">
        <v>26</v>
      </c>
      <c r="K40" s="2">
        <f t="shared" si="0"/>
        <v>1400</v>
      </c>
      <c r="L40" s="2">
        <f t="shared" si="3"/>
        <v>900</v>
      </c>
      <c r="M40" s="2">
        <f t="shared" si="1"/>
        <v>500</v>
      </c>
      <c r="N40" s="4" t="str">
        <f>VLOOKUP(D40,products!A:E,3,FALSE)</f>
        <v>Electronics</v>
      </c>
      <c r="O40" s="2" t="str">
        <f t="shared" si="2"/>
        <v>Nov</v>
      </c>
    </row>
    <row r="41" spans="1:15" x14ac:dyDescent="0.25">
      <c r="A41" s="2">
        <v>5040</v>
      </c>
      <c r="B41" s="5">
        <v>45608</v>
      </c>
      <c r="C41" s="2">
        <v>1006</v>
      </c>
      <c r="D41" s="2">
        <v>204</v>
      </c>
      <c r="E41" s="2">
        <v>2</v>
      </c>
      <c r="F41" s="2">
        <f>VLOOKUP(D41,products!A:E,4,FALSE)</f>
        <v>1500</v>
      </c>
      <c r="G41" s="2">
        <f>VLOOKUP(D41,products!A:E,5,FALSE)</f>
        <v>850</v>
      </c>
      <c r="H41" s="2">
        <v>0.05</v>
      </c>
      <c r="I41" s="2" t="s">
        <v>25</v>
      </c>
      <c r="J41" s="2" t="s">
        <v>30</v>
      </c>
      <c r="K41" s="2">
        <f t="shared" si="0"/>
        <v>3000</v>
      </c>
      <c r="L41" s="2">
        <f t="shared" si="3"/>
        <v>1700</v>
      </c>
      <c r="M41" s="2">
        <f t="shared" si="1"/>
        <v>1300</v>
      </c>
      <c r="N41" s="4" t="str">
        <f>VLOOKUP(D41,products!A:E,3,FALSE)</f>
        <v>Fashion</v>
      </c>
      <c r="O41" s="2" t="str">
        <f t="shared" si="2"/>
        <v>Nov</v>
      </c>
    </row>
    <row r="42" spans="1:15" x14ac:dyDescent="0.25">
      <c r="A42" s="2">
        <v>5041</v>
      </c>
      <c r="B42" s="5">
        <v>45618</v>
      </c>
      <c r="C42" s="2">
        <v>1007</v>
      </c>
      <c r="D42" s="2">
        <v>201</v>
      </c>
      <c r="E42" s="2">
        <v>4</v>
      </c>
      <c r="F42" s="2">
        <f>VLOOKUP(D42,products!A:E,4,FALSE)</f>
        <v>650</v>
      </c>
      <c r="G42" s="2">
        <f>VLOOKUP(D42,products!A:E,5,FALSE)</f>
        <v>420</v>
      </c>
      <c r="H42" s="2">
        <v>0</v>
      </c>
      <c r="I42" s="2" t="s">
        <v>25</v>
      </c>
      <c r="J42" s="2" t="s">
        <v>28</v>
      </c>
      <c r="K42" s="2">
        <f t="shared" si="0"/>
        <v>2600</v>
      </c>
      <c r="L42" s="2">
        <f t="shared" si="3"/>
        <v>1680</v>
      </c>
      <c r="M42" s="2">
        <f t="shared" si="1"/>
        <v>920</v>
      </c>
      <c r="N42" s="4" t="str">
        <f>VLOOKUP(D42,products!A:E,3,FALSE)</f>
        <v>Electronics</v>
      </c>
      <c r="O42" s="2" t="str">
        <f t="shared" si="2"/>
        <v>Nov</v>
      </c>
    </row>
    <row r="43" spans="1:15" x14ac:dyDescent="0.25">
      <c r="A43" s="2">
        <v>5042</v>
      </c>
      <c r="B43" s="5">
        <v>45627</v>
      </c>
      <c r="C43" s="2">
        <v>1008</v>
      </c>
      <c r="D43" s="2">
        <v>207</v>
      </c>
      <c r="E43" s="2">
        <v>1</v>
      </c>
      <c r="F43" s="2">
        <f>VLOOKUP(D43,products!A:E,4,FALSE)</f>
        <v>1800</v>
      </c>
      <c r="G43" s="2">
        <f>VLOOKUP(D43,products!A:E,5,FALSE)</f>
        <v>1120</v>
      </c>
      <c r="H43" s="2">
        <v>0</v>
      </c>
      <c r="I43" s="2" t="s">
        <v>25</v>
      </c>
      <c r="J43" s="2" t="s">
        <v>26</v>
      </c>
      <c r="K43" s="2">
        <f t="shared" si="0"/>
        <v>1800</v>
      </c>
      <c r="L43" s="2">
        <f t="shared" si="3"/>
        <v>1120</v>
      </c>
      <c r="M43" s="2">
        <f t="shared" si="1"/>
        <v>680</v>
      </c>
      <c r="N43" s="4" t="str">
        <f>VLOOKUP(D43,products!A:E,3,FALSE)</f>
        <v>Electronics</v>
      </c>
      <c r="O43" s="2" t="str">
        <f t="shared" si="2"/>
        <v>Dec</v>
      </c>
    </row>
    <row r="44" spans="1:15" x14ac:dyDescent="0.25">
      <c r="A44" s="2">
        <v>5043</v>
      </c>
      <c r="B44" s="5">
        <v>45635</v>
      </c>
      <c r="C44" s="2">
        <v>1009</v>
      </c>
      <c r="D44" s="2">
        <v>203</v>
      </c>
      <c r="E44" s="2">
        <v>2</v>
      </c>
      <c r="F44" s="2">
        <f>VLOOKUP(D44,products!A:E,4,FALSE)</f>
        <v>350</v>
      </c>
      <c r="G44" s="2">
        <f>VLOOKUP(D44,products!A:E,5,FALSE)</f>
        <v>180</v>
      </c>
      <c r="H44" s="2">
        <v>0.1</v>
      </c>
      <c r="I44" s="2" t="s">
        <v>25</v>
      </c>
      <c r="J44" s="2" t="s">
        <v>30</v>
      </c>
      <c r="K44" s="2">
        <f t="shared" si="0"/>
        <v>700</v>
      </c>
      <c r="L44" s="2">
        <f t="shared" si="3"/>
        <v>360</v>
      </c>
      <c r="M44" s="2">
        <f t="shared" si="1"/>
        <v>340</v>
      </c>
      <c r="N44" s="4" t="str">
        <f>VLOOKUP(D44,products!A:E,3,FALSE)</f>
        <v>Home &amp; Kitchen</v>
      </c>
      <c r="O44" s="2" t="str">
        <f t="shared" si="2"/>
        <v>Dec</v>
      </c>
    </row>
    <row r="45" spans="1:15" x14ac:dyDescent="0.25">
      <c r="A45" s="2">
        <v>5044</v>
      </c>
      <c r="B45" s="5">
        <v>45643</v>
      </c>
      <c r="C45" s="2">
        <v>1010</v>
      </c>
      <c r="D45" s="2">
        <v>206</v>
      </c>
      <c r="E45" s="2">
        <v>1</v>
      </c>
      <c r="F45" s="2">
        <f>VLOOKUP(D45,products!A:E,4,FALSE)</f>
        <v>3200</v>
      </c>
      <c r="G45" s="2">
        <f>VLOOKUP(D45,products!A:E,5,FALSE)</f>
        <v>2200</v>
      </c>
      <c r="H45" s="2">
        <v>0.05</v>
      </c>
      <c r="I45" s="2" t="s">
        <v>25</v>
      </c>
      <c r="J45" s="2" t="s">
        <v>28</v>
      </c>
      <c r="K45" s="2">
        <f t="shared" si="0"/>
        <v>3200</v>
      </c>
      <c r="L45" s="2">
        <f t="shared" si="3"/>
        <v>2200</v>
      </c>
      <c r="M45" s="2">
        <f t="shared" si="1"/>
        <v>1000</v>
      </c>
      <c r="N45" s="4" t="str">
        <f>VLOOKUP(D45,products!A:E,3,FALSE)</f>
        <v>Home &amp; Kitchen</v>
      </c>
      <c r="O45" s="2" t="str">
        <f t="shared" si="2"/>
        <v>Dec</v>
      </c>
    </row>
    <row r="46" spans="1:15" x14ac:dyDescent="0.25">
      <c r="A46" s="2">
        <v>5045</v>
      </c>
      <c r="B46" s="5">
        <v>45648</v>
      </c>
      <c r="C46" s="2">
        <v>1011</v>
      </c>
      <c r="D46" s="2">
        <v>209</v>
      </c>
      <c r="E46" s="2">
        <v>5</v>
      </c>
      <c r="F46" s="2">
        <f>VLOOKUP(D46,products!A:E,4,FALSE)</f>
        <v>700</v>
      </c>
      <c r="G46" s="2">
        <f>VLOOKUP(D46,products!A:E,5,FALSE)</f>
        <v>300</v>
      </c>
      <c r="H46" s="2">
        <v>0</v>
      </c>
      <c r="I46" s="2" t="s">
        <v>25</v>
      </c>
      <c r="J46" s="2" t="s">
        <v>26</v>
      </c>
      <c r="K46" s="2">
        <f t="shared" si="0"/>
        <v>3500</v>
      </c>
      <c r="L46" s="2">
        <f t="shared" si="3"/>
        <v>1500</v>
      </c>
      <c r="M46" s="2">
        <f t="shared" si="1"/>
        <v>2000</v>
      </c>
      <c r="N46" s="4" t="str">
        <f>VLOOKUP(D46,products!A:E,3,FALSE)</f>
        <v>Fashion</v>
      </c>
      <c r="O46" s="2" t="str">
        <f t="shared" si="2"/>
        <v>Dec</v>
      </c>
    </row>
    <row r="47" spans="1:15" x14ac:dyDescent="0.25">
      <c r="A47" s="2">
        <v>5046</v>
      </c>
      <c r="B47" s="5">
        <v>45654</v>
      </c>
      <c r="C47" s="2">
        <v>1012</v>
      </c>
      <c r="D47" s="2">
        <v>202</v>
      </c>
      <c r="E47" s="2">
        <v>1</v>
      </c>
      <c r="F47" s="2">
        <f>VLOOKUP(D47,products!A:E,4,FALSE)</f>
        <v>1200</v>
      </c>
      <c r="G47" s="2">
        <f>VLOOKUP(D47,products!A:E,5,FALSE)</f>
        <v>780</v>
      </c>
      <c r="H47" s="2">
        <v>0.1</v>
      </c>
      <c r="I47" s="2" t="s">
        <v>25</v>
      </c>
      <c r="J47" s="2" t="s">
        <v>28</v>
      </c>
      <c r="K47" s="2">
        <f t="shared" si="0"/>
        <v>1200</v>
      </c>
      <c r="L47" s="2">
        <f t="shared" si="3"/>
        <v>780</v>
      </c>
      <c r="M47" s="2">
        <f t="shared" si="1"/>
        <v>420</v>
      </c>
      <c r="N47" s="4" t="str">
        <f>VLOOKUP(D47,products!A:E,3,FALSE)</f>
        <v>Electronics</v>
      </c>
      <c r="O47" s="2" t="str">
        <f t="shared" si="2"/>
        <v>Dec</v>
      </c>
    </row>
    <row r="48" spans="1:15" x14ac:dyDescent="0.25">
      <c r="A48" s="2">
        <v>5047</v>
      </c>
      <c r="B48" s="5">
        <v>45656</v>
      </c>
      <c r="C48" s="2">
        <v>1001</v>
      </c>
      <c r="D48" s="2">
        <v>210</v>
      </c>
      <c r="E48" s="2">
        <v>2</v>
      </c>
      <c r="F48" s="2">
        <f>VLOOKUP(D48,products!A:E,4,FALSE)</f>
        <v>1400</v>
      </c>
      <c r="G48" s="2">
        <f>VLOOKUP(D48,products!A:E,5,FALSE)</f>
        <v>900</v>
      </c>
      <c r="H48" s="2">
        <v>0</v>
      </c>
      <c r="I48" s="2" t="s">
        <v>25</v>
      </c>
      <c r="J48" s="2" t="s">
        <v>26</v>
      </c>
      <c r="K48" s="2">
        <f t="shared" si="0"/>
        <v>2800</v>
      </c>
      <c r="L48" s="2">
        <f t="shared" si="3"/>
        <v>1800</v>
      </c>
      <c r="M48" s="2">
        <f t="shared" si="1"/>
        <v>1000</v>
      </c>
      <c r="N48" s="4" t="str">
        <f>VLOOKUP(D48,products!A:E,3,FALSE)</f>
        <v>Electronics</v>
      </c>
      <c r="O48" s="2" t="str">
        <f t="shared" si="2"/>
        <v>Dec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2104-8B02-4E11-8E0C-B595D27E965B}">
  <dimension ref="A3:M9"/>
  <sheetViews>
    <sheetView workbookViewId="0">
      <selection activeCell="M9" sqref="M9"/>
    </sheetView>
  </sheetViews>
  <sheetFormatPr defaultRowHeight="15" x14ac:dyDescent="0.25"/>
  <cols>
    <col min="1" max="1" width="13.42578125" bestFit="1" customWidth="1"/>
    <col min="2" max="2" width="16.85546875" bestFit="1" customWidth="1"/>
  </cols>
  <sheetData>
    <row r="3" spans="1:13" x14ac:dyDescent="0.25">
      <c r="A3" s="9" t="s">
        <v>45</v>
      </c>
      <c r="B3" t="s">
        <v>68</v>
      </c>
    </row>
    <row r="4" spans="1:13" x14ac:dyDescent="0.25">
      <c r="A4" s="10" t="s">
        <v>32</v>
      </c>
      <c r="B4">
        <v>1</v>
      </c>
      <c r="M4" t="s">
        <v>70</v>
      </c>
    </row>
    <row r="5" spans="1:13" x14ac:dyDescent="0.25">
      <c r="A5" s="10" t="s">
        <v>25</v>
      </c>
      <c r="B5">
        <v>46</v>
      </c>
      <c r="M5" t="s">
        <v>71</v>
      </c>
    </row>
    <row r="6" spans="1:13" x14ac:dyDescent="0.25">
      <c r="A6" s="10" t="s">
        <v>46</v>
      </c>
      <c r="B6">
        <v>47</v>
      </c>
    </row>
    <row r="7" spans="1:13" x14ac:dyDescent="0.25">
      <c r="M7" t="s">
        <v>72</v>
      </c>
    </row>
    <row r="8" spans="1:13" x14ac:dyDescent="0.25">
      <c r="M8" t="s">
        <v>73</v>
      </c>
    </row>
    <row r="9" spans="1:13" x14ac:dyDescent="0.25">
      <c r="M9" t="s">
        <v>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1F08-4254-4BD9-A962-BC8DBC52EA81}">
  <dimension ref="A1:N4"/>
  <sheetViews>
    <sheetView showGridLines="0" tabSelected="1" zoomScaleNormal="100" workbookViewId="0">
      <selection activeCell="O13" sqref="O13"/>
    </sheetView>
  </sheetViews>
  <sheetFormatPr defaultRowHeight="15" x14ac:dyDescent="0.25"/>
  <cols>
    <col min="2" max="2" width="15.85546875" customWidth="1"/>
    <col min="3" max="3" width="10.5703125" customWidth="1"/>
    <col min="7" max="7" width="19" customWidth="1"/>
    <col min="11" max="11" width="18.85546875" customWidth="1"/>
    <col min="14" max="14" width="23.7109375" customWidth="1"/>
  </cols>
  <sheetData>
    <row r="1" spans="1:14" ht="26.25" x14ac:dyDescent="0.4">
      <c r="A1" s="34"/>
      <c r="E1" s="35" t="s">
        <v>85</v>
      </c>
    </row>
    <row r="2" spans="1:14" ht="64.5" customHeight="1" x14ac:dyDescent="0.25">
      <c r="B2" s="17" t="s">
        <v>75</v>
      </c>
      <c r="C2" s="17"/>
      <c r="F2" s="20" t="s">
        <v>76</v>
      </c>
      <c r="G2" s="20"/>
      <c r="J2" s="13" t="s">
        <v>77</v>
      </c>
      <c r="K2" s="13"/>
      <c r="M2" s="15" t="s">
        <v>78</v>
      </c>
      <c r="N2" s="15"/>
    </row>
    <row r="3" spans="1:14" x14ac:dyDescent="0.25">
      <c r="B3" s="18">
        <v>108450</v>
      </c>
      <c r="C3" s="19"/>
      <c r="F3" s="21">
        <v>43120</v>
      </c>
      <c r="G3" s="22"/>
      <c r="J3" s="14">
        <v>47</v>
      </c>
      <c r="K3" s="14"/>
      <c r="M3" s="16">
        <v>1</v>
      </c>
      <c r="N3" s="16"/>
    </row>
    <row r="4" spans="1:14" x14ac:dyDescent="0.25">
      <c r="B4" s="19"/>
      <c r="C4" s="19"/>
      <c r="F4" s="22"/>
      <c r="G4" s="22"/>
      <c r="J4" s="14"/>
      <c r="K4" s="14"/>
      <c r="M4" s="16"/>
      <c r="N4" s="16"/>
    </row>
  </sheetData>
  <mergeCells count="8">
    <mergeCell ref="J2:K2"/>
    <mergeCell ref="J3:K4"/>
    <mergeCell ref="M2:N2"/>
    <mergeCell ref="M3:N4"/>
    <mergeCell ref="B2:C2"/>
    <mergeCell ref="B3:C4"/>
    <mergeCell ref="F2:G2"/>
    <mergeCell ref="F3:G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B453-B11C-4F5D-9CE2-4C65C4C2929B}">
  <dimension ref="A1:K26"/>
  <sheetViews>
    <sheetView showGridLines="0" workbookViewId="0">
      <selection activeCell="A3" sqref="A3"/>
    </sheetView>
  </sheetViews>
  <sheetFormatPr defaultRowHeight="15" x14ac:dyDescent="0.25"/>
  <cols>
    <col min="2" max="2" width="34.85546875" customWidth="1"/>
    <col min="3" max="3" width="1.7109375" customWidth="1"/>
    <col min="5" max="5" width="35.5703125" customWidth="1"/>
    <col min="6" max="6" width="1.85546875" customWidth="1"/>
    <col min="8" max="8" width="38.140625" customWidth="1"/>
    <col min="9" max="9" width="1.85546875" customWidth="1"/>
    <col min="11" max="11" width="37.7109375" customWidth="1"/>
  </cols>
  <sheetData>
    <row r="1" spans="1:11" x14ac:dyDescent="0.25">
      <c r="A1" s="12"/>
      <c r="B1" s="39" t="s">
        <v>80</v>
      </c>
      <c r="C1" s="36"/>
      <c r="D1" s="37" t="s">
        <v>79</v>
      </c>
      <c r="E1" s="38"/>
      <c r="F1" s="38"/>
      <c r="G1" s="38"/>
      <c r="H1" s="38"/>
      <c r="I1" s="12"/>
      <c r="J1" s="12"/>
      <c r="K1" s="39" t="s">
        <v>81</v>
      </c>
    </row>
    <row r="2" spans="1:11" x14ac:dyDescent="0.25">
      <c r="A2" s="12"/>
      <c r="B2" s="36"/>
      <c r="C2" s="36"/>
      <c r="D2" s="38"/>
      <c r="E2" s="38"/>
      <c r="F2" s="38"/>
      <c r="G2" s="38"/>
      <c r="H2" s="38"/>
      <c r="I2" s="12"/>
      <c r="J2" s="12"/>
      <c r="K2" s="36"/>
    </row>
    <row r="4" spans="1:11" ht="21" x14ac:dyDescent="0.25">
      <c r="A4" s="25" t="s">
        <v>75</v>
      </c>
      <c r="B4" s="25"/>
      <c r="D4" s="28" t="s">
        <v>76</v>
      </c>
      <c r="E4" s="28"/>
      <c r="G4" s="31" t="s">
        <v>77</v>
      </c>
      <c r="H4" s="31"/>
      <c r="J4" s="23" t="s">
        <v>78</v>
      </c>
      <c r="K4" s="23"/>
    </row>
    <row r="5" spans="1:11" x14ac:dyDescent="0.25">
      <c r="A5" s="26">
        <v>108450</v>
      </c>
      <c r="B5" s="27"/>
      <c r="D5" s="29">
        <v>43120</v>
      </c>
      <c r="E5" s="30"/>
      <c r="G5" s="32">
        <v>47</v>
      </c>
      <c r="H5" s="32"/>
      <c r="J5" s="24">
        <v>1</v>
      </c>
      <c r="K5" s="24"/>
    </row>
    <row r="6" spans="1:11" x14ac:dyDescent="0.25">
      <c r="A6" s="27"/>
      <c r="B6" s="27"/>
      <c r="D6" s="30"/>
      <c r="E6" s="30"/>
      <c r="G6" s="32"/>
      <c r="H6" s="32"/>
      <c r="J6" s="24"/>
      <c r="K6" s="24"/>
    </row>
    <row r="26" spans="1:11" x14ac:dyDescent="0.25">
      <c r="A26" s="33" t="s">
        <v>83</v>
      </c>
      <c r="B26" s="33"/>
      <c r="C26" s="33"/>
      <c r="D26" s="33"/>
      <c r="E26" s="41" t="s">
        <v>82</v>
      </c>
      <c r="F26" s="40"/>
      <c r="G26" s="40"/>
      <c r="H26" s="40"/>
      <c r="I26" s="33"/>
      <c r="J26" s="33"/>
      <c r="K26" s="42" t="s">
        <v>84</v>
      </c>
    </row>
  </sheetData>
  <mergeCells count="12">
    <mergeCell ref="D1:H2"/>
    <mergeCell ref="B1:C2"/>
    <mergeCell ref="K1:K2"/>
    <mergeCell ref="E26:H26"/>
    <mergeCell ref="J4:K4"/>
    <mergeCell ref="J5:K6"/>
    <mergeCell ref="A4:B4"/>
    <mergeCell ref="A5:B6"/>
    <mergeCell ref="D4:E4"/>
    <mergeCell ref="D5:E6"/>
    <mergeCell ref="G4:H4"/>
    <mergeCell ref="G5:H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954A-C5E6-4DD3-91F4-D1FEC77E8B80}">
  <dimension ref="A3:B7"/>
  <sheetViews>
    <sheetView workbookViewId="0">
      <selection activeCell="K25" sqref="K25"/>
    </sheetView>
  </sheetViews>
  <sheetFormatPr defaultRowHeight="15" x14ac:dyDescent="0.25"/>
  <cols>
    <col min="1" max="1" width="13.42578125" bestFit="1" customWidth="1"/>
    <col min="2" max="2" width="16.85546875" bestFit="1" customWidth="1"/>
  </cols>
  <sheetData>
    <row r="3" spans="1:2" x14ac:dyDescent="0.25">
      <c r="A3" s="9" t="s">
        <v>45</v>
      </c>
      <c r="B3" t="s">
        <v>68</v>
      </c>
    </row>
    <row r="4" spans="1:2" x14ac:dyDescent="0.25">
      <c r="A4" s="10" t="s">
        <v>28</v>
      </c>
      <c r="B4">
        <v>17</v>
      </c>
    </row>
    <row r="5" spans="1:2" x14ac:dyDescent="0.25">
      <c r="A5" s="10" t="s">
        <v>30</v>
      </c>
      <c r="B5">
        <v>12</v>
      </c>
    </row>
    <row r="6" spans="1:2" x14ac:dyDescent="0.25">
      <c r="A6" s="10" t="s">
        <v>26</v>
      </c>
      <c r="B6">
        <v>18</v>
      </c>
    </row>
    <row r="7" spans="1:2" x14ac:dyDescent="0.25">
      <c r="A7" s="10" t="s">
        <v>46</v>
      </c>
      <c r="B7">
        <v>47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2206-C9CA-41A2-A0EB-3FC3C8C8D171}">
  <dimension ref="A3:B16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5.28515625" bestFit="1" customWidth="1"/>
    <col min="3" max="3" width="8" bestFit="1" customWidth="1"/>
    <col min="4" max="4" width="15.5703125" bestFit="1" customWidth="1"/>
    <col min="5" max="5" width="11.28515625" bestFit="1" customWidth="1"/>
  </cols>
  <sheetData>
    <row r="3" spans="1:2" x14ac:dyDescent="0.25">
      <c r="A3" s="9" t="s">
        <v>45</v>
      </c>
      <c r="B3" t="s">
        <v>47</v>
      </c>
    </row>
    <row r="4" spans="1:2" x14ac:dyDescent="0.25">
      <c r="A4" s="10" t="s">
        <v>56</v>
      </c>
      <c r="B4">
        <v>6250</v>
      </c>
    </row>
    <row r="5" spans="1:2" x14ac:dyDescent="0.25">
      <c r="A5" s="10" t="s">
        <v>57</v>
      </c>
      <c r="B5">
        <v>12000</v>
      </c>
    </row>
    <row r="6" spans="1:2" x14ac:dyDescent="0.25">
      <c r="A6" s="10" t="s">
        <v>58</v>
      </c>
      <c r="B6">
        <v>7550</v>
      </c>
    </row>
    <row r="7" spans="1:2" x14ac:dyDescent="0.25">
      <c r="A7" s="10" t="s">
        <v>59</v>
      </c>
      <c r="B7">
        <v>7950</v>
      </c>
    </row>
    <row r="8" spans="1:2" x14ac:dyDescent="0.25">
      <c r="A8" s="10" t="s">
        <v>60</v>
      </c>
      <c r="B8">
        <v>9900</v>
      </c>
    </row>
    <row r="9" spans="1:2" x14ac:dyDescent="0.25">
      <c r="A9" s="10" t="s">
        <v>61</v>
      </c>
      <c r="B9">
        <v>11300</v>
      </c>
    </row>
    <row r="10" spans="1:2" x14ac:dyDescent="0.25">
      <c r="A10" s="10" t="s">
        <v>62</v>
      </c>
      <c r="B10">
        <v>9000</v>
      </c>
    </row>
    <row r="11" spans="1:2" x14ac:dyDescent="0.25">
      <c r="A11" s="10" t="s">
        <v>63</v>
      </c>
      <c r="B11">
        <v>9600</v>
      </c>
    </row>
    <row r="12" spans="1:2" x14ac:dyDescent="0.25">
      <c r="A12" s="10" t="s">
        <v>64</v>
      </c>
      <c r="B12">
        <v>8100</v>
      </c>
    </row>
    <row r="13" spans="1:2" x14ac:dyDescent="0.25">
      <c r="A13" s="10" t="s">
        <v>65</v>
      </c>
      <c r="B13">
        <v>6600</v>
      </c>
    </row>
    <row r="14" spans="1:2" x14ac:dyDescent="0.25">
      <c r="A14" s="10" t="s">
        <v>66</v>
      </c>
      <c r="B14">
        <v>7000</v>
      </c>
    </row>
    <row r="15" spans="1:2" x14ac:dyDescent="0.25">
      <c r="A15" s="10" t="s">
        <v>67</v>
      </c>
      <c r="B15">
        <v>13200</v>
      </c>
    </row>
    <row r="16" spans="1:2" x14ac:dyDescent="0.25">
      <c r="A16" s="10" t="s">
        <v>46</v>
      </c>
      <c r="B16">
        <v>108450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D158-2A43-4BD7-ABCB-293767641680}">
  <dimension ref="A3:B16"/>
  <sheetViews>
    <sheetView workbookViewId="0">
      <selection activeCell="H25" sqref="H25"/>
    </sheetView>
  </sheetViews>
  <sheetFormatPr defaultRowHeight="15" x14ac:dyDescent="0.25"/>
  <cols>
    <col min="1" max="1" width="13.42578125" bestFit="1" customWidth="1"/>
    <col min="2" max="2" width="12.7109375" bestFit="1" customWidth="1"/>
  </cols>
  <sheetData>
    <row r="3" spans="1:2" x14ac:dyDescent="0.25">
      <c r="A3" s="9" t="s">
        <v>45</v>
      </c>
      <c r="B3" t="s">
        <v>48</v>
      </c>
    </row>
    <row r="4" spans="1:2" x14ac:dyDescent="0.25">
      <c r="A4" s="10" t="s">
        <v>56</v>
      </c>
      <c r="B4">
        <v>2570</v>
      </c>
    </row>
    <row r="5" spans="1:2" x14ac:dyDescent="0.25">
      <c r="A5" s="10" t="s">
        <v>57</v>
      </c>
      <c r="B5">
        <v>4800</v>
      </c>
    </row>
    <row r="6" spans="1:2" x14ac:dyDescent="0.25">
      <c r="A6" s="10" t="s">
        <v>58</v>
      </c>
      <c r="B6">
        <v>2920</v>
      </c>
    </row>
    <row r="7" spans="1:2" x14ac:dyDescent="0.25">
      <c r="A7" s="10" t="s">
        <v>59</v>
      </c>
      <c r="B7">
        <v>3630</v>
      </c>
    </row>
    <row r="8" spans="1:2" x14ac:dyDescent="0.25">
      <c r="A8" s="10" t="s">
        <v>60</v>
      </c>
      <c r="B8">
        <v>3590</v>
      </c>
    </row>
    <row r="9" spans="1:2" x14ac:dyDescent="0.25">
      <c r="A9" s="10" t="s">
        <v>61</v>
      </c>
      <c r="B9">
        <v>4590</v>
      </c>
    </row>
    <row r="10" spans="1:2" x14ac:dyDescent="0.25">
      <c r="A10" s="10" t="s">
        <v>62</v>
      </c>
      <c r="B10">
        <v>3110</v>
      </c>
    </row>
    <row r="11" spans="1:2" x14ac:dyDescent="0.25">
      <c r="A11" s="10" t="s">
        <v>63</v>
      </c>
      <c r="B11">
        <v>4160</v>
      </c>
    </row>
    <row r="12" spans="1:2" x14ac:dyDescent="0.25">
      <c r="A12" s="10" t="s">
        <v>64</v>
      </c>
      <c r="B12">
        <v>3020</v>
      </c>
    </row>
    <row r="13" spans="1:2" x14ac:dyDescent="0.25">
      <c r="A13" s="10" t="s">
        <v>65</v>
      </c>
      <c r="B13">
        <v>2570</v>
      </c>
    </row>
    <row r="14" spans="1:2" x14ac:dyDescent="0.25">
      <c r="A14" s="10" t="s">
        <v>66</v>
      </c>
      <c r="B14">
        <v>2720</v>
      </c>
    </row>
    <row r="15" spans="1:2" x14ac:dyDescent="0.25">
      <c r="A15" s="10" t="s">
        <v>67</v>
      </c>
      <c r="B15">
        <v>5440</v>
      </c>
    </row>
    <row r="16" spans="1:2" x14ac:dyDescent="0.25">
      <c r="A16" s="10" t="s">
        <v>46</v>
      </c>
      <c r="B16">
        <v>43120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6E05-BE85-4065-960E-AAD424D02747}">
  <dimension ref="A3:N8"/>
  <sheetViews>
    <sheetView workbookViewId="0">
      <selection activeCell="K22" sqref="K22"/>
    </sheetView>
  </sheetViews>
  <sheetFormatPr defaultRowHeight="15" x14ac:dyDescent="0.25"/>
  <cols>
    <col min="1" max="1" width="15" bestFit="1" customWidth="1"/>
    <col min="2" max="2" width="15.28515625" bestFit="1" customWidth="1"/>
    <col min="3" max="3" width="12.7109375" bestFit="1" customWidth="1"/>
  </cols>
  <sheetData>
    <row r="3" spans="1:14" x14ac:dyDescent="0.25">
      <c r="A3" s="9" t="s">
        <v>45</v>
      </c>
      <c r="B3" t="s">
        <v>47</v>
      </c>
      <c r="C3" t="s">
        <v>48</v>
      </c>
      <c r="E3" t="s">
        <v>49</v>
      </c>
    </row>
    <row r="4" spans="1:14" x14ac:dyDescent="0.25">
      <c r="A4" s="10" t="s">
        <v>6</v>
      </c>
      <c r="B4">
        <v>43550</v>
      </c>
      <c r="C4">
        <v>15750</v>
      </c>
      <c r="E4" t="s">
        <v>50</v>
      </c>
    </row>
    <row r="5" spans="1:14" x14ac:dyDescent="0.25">
      <c r="A5" s="10" t="s">
        <v>11</v>
      </c>
      <c r="B5">
        <v>34700</v>
      </c>
      <c r="C5">
        <v>15850</v>
      </c>
      <c r="E5" s="8" t="s">
        <v>51</v>
      </c>
      <c r="F5" s="8"/>
      <c r="G5" s="8"/>
      <c r="H5" s="8"/>
    </row>
    <row r="6" spans="1:14" x14ac:dyDescent="0.25">
      <c r="A6" s="10" t="s">
        <v>9</v>
      </c>
      <c r="B6">
        <v>30200</v>
      </c>
      <c r="C6">
        <v>11520</v>
      </c>
      <c r="E6" t="s">
        <v>52</v>
      </c>
    </row>
    <row r="7" spans="1:14" x14ac:dyDescent="0.25">
      <c r="A7" s="10" t="s">
        <v>46</v>
      </c>
      <c r="B7">
        <v>108450</v>
      </c>
      <c r="C7">
        <v>43120</v>
      </c>
      <c r="E7" t="s">
        <v>53</v>
      </c>
    </row>
    <row r="8" spans="1:14" x14ac:dyDescent="0.25">
      <c r="E8" s="11" t="s">
        <v>54</v>
      </c>
      <c r="F8" s="11"/>
      <c r="G8" s="11"/>
      <c r="H8" s="11"/>
      <c r="I8" s="11"/>
      <c r="J8" s="11"/>
      <c r="K8" s="11"/>
      <c r="L8" s="11"/>
      <c r="M8" s="11"/>
      <c r="N8" s="11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products</vt:lpstr>
      <vt:lpstr>orders</vt:lpstr>
      <vt:lpstr>Order_Chart</vt:lpstr>
      <vt:lpstr>Dashboard</vt:lpstr>
      <vt:lpstr>Main_Dashboard</vt:lpstr>
      <vt:lpstr>Payment_Chart</vt:lpstr>
      <vt:lpstr>Revenue_Chart</vt:lpstr>
      <vt:lpstr>Profit_Chart</vt:lpstr>
      <vt:lpstr>Category_Wise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Ujjawal Prasad</cp:lastModifiedBy>
  <dcterms:created xsi:type="dcterms:W3CDTF">2026-10-23T02:24:26Z</dcterms:created>
  <dcterms:modified xsi:type="dcterms:W3CDTF">2026-10-26T15:45:25Z</dcterms:modified>
</cp:coreProperties>
</file>